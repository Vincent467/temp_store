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eepr\WPS Cloud Files\.267320617\cachedata\004F99D796E64AC28A95B93FD9675EC2\"/>
    </mc:Choice>
  </mc:AlternateContent>
  <bookViews>
    <workbookView windowWidth="24750" windowHeight="12060" tabRatio="500" firstSheet="2" activeTab="5"/>
  </bookViews>
  <sheets>
    <sheet name="Version" sheetId="1" r:id="rId1"/>
    <sheet name="UserGuide" sheetId="2" r:id="rId2"/>
    <sheet name="General" sheetId="3" r:id="rId3"/>
    <sheet name="Configuration" sheetId="4" r:id="rId4"/>
    <sheet name="ProductFeatureList" sheetId="5" r:id="rId5"/>
    <sheet name="CR" sheetId="7" r:id="rId6"/>
    <sheet name="Schedule" sheetId="9" r:id="rId7"/>
    <sheet name="Discussion record" sheetId="8" r:id="rId8"/>
    <sheet name="Format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<sst xmlns="http://schemas.openxmlformats.org/spreadsheetml/2006/main" count="926" uniqueCount="323">
  <si>
    <t>Vivante DC9X00L series - Product Order Form</t>
  </si>
  <si>
    <t xml:space="preserve">Version </t>
  </si>
  <si>
    <t>Description</t>
  </si>
  <si>
    <t>Date</t>
  </si>
  <si>
    <t>This is a guide for how to use the POF file</t>
  </si>
  <si>
    <t>"Version" sheet: the page to track the POF file version</t>
  </si>
  <si>
    <t>"UserGuide" sheet: This page gives the user guide to use the POF file</t>
  </si>
  <si>
    <t>"General" sheet: Some basic general information of the project</t>
  </si>
  <si>
    <t>"Configuration" sheet: Hardware configuration options</t>
  </si>
  <si>
    <t>"ProductFeatureList" sheet: This is a read-only sheet to show the complete feature list, including configurable and not configurable ones
                                                  Notice that ,this sheet is the final result of this IP</t>
  </si>
  <si>
    <t>"CR" sheet: This sheet is used for recording customer request on IP product customization change</t>
  </si>
  <si>
    <t>Please fill necessary project information below, for general reference purpose</t>
  </si>
  <si>
    <t>General Information</t>
  </si>
  <si>
    <t>Customer's Answer</t>
  </si>
  <si>
    <t>Answer Example</t>
  </si>
  <si>
    <t>Company name</t>
  </si>
  <si>
    <t>ABC Corp.</t>
  </si>
  <si>
    <t>Project name or identifier</t>
  </si>
  <si>
    <t>Aspen201</t>
  </si>
  <si>
    <t>Target process (e.g. TSMC N7)</t>
  </si>
  <si>
    <t>TSMC N7</t>
  </si>
  <si>
    <t>Target RTL freeze date</t>
  </si>
  <si>
    <t>Mid December, 2024</t>
  </si>
  <si>
    <t>Target tape out date</t>
  </si>
  <si>
    <t>End August, 2025</t>
  </si>
  <si>
    <t>Host OS (e.g. Linux 3.10)</t>
  </si>
  <si>
    <t>Linux 6.6</t>
  </si>
  <si>
    <t>Product Order Form for DCNanoUltra-XR Display Controller IP</t>
  </si>
  <si>
    <t>Category</t>
  </si>
  <si>
    <t>DCNanoUltra-XR Series Product Features</t>
  </si>
  <si>
    <t>Customer Config</t>
  </si>
  <si>
    <t>Impact by Feature</t>
  </si>
  <si>
    <t>Customer Comments</t>
  </si>
  <si>
    <t>VSI Comments</t>
  </si>
  <si>
    <t>Pixel Throughput</t>
  </si>
  <si>
    <t>Pixel per Cycle</t>
  </si>
  <si>
    <t>Pixel Pre-processing</t>
  </si>
  <si>
    <t>Video Layers</t>
  </si>
  <si>
    <t>Layer number configrable; Default 1;
YUV+RGB format;
Tile/Rotation/FlipX,Y/Scaler;</t>
  </si>
  <si>
    <t>Graphic Layers</t>
  </si>
  <si>
    <r>
      <rPr>
        <sz val="10"/>
        <color theme="1"/>
        <rFont val="Calibri"/>
        <charset val="134"/>
      </rPr>
      <t>Layer number configrable; Default 0;
RGB format only ;
Tile</t>
    </r>
    <r>
      <rPr>
        <sz val="10"/>
        <rFont val="Calibri"/>
        <charset val="134"/>
      </rPr>
      <t>/no Rotation</t>
    </r>
    <r>
      <rPr>
        <sz val="10"/>
        <color theme="1"/>
        <rFont val="Calibri"/>
        <charset val="134"/>
      </rPr>
      <t>/FlipX,Y/Scaler;</t>
    </r>
  </si>
  <si>
    <t>Simple Layers</t>
  </si>
  <si>
    <t>Layer number configrable; Default 1;
Linear YUV+RGB format;
Flip X,Y;
No Tile/No Rotation/No Scaler in default config;
No Decompression</t>
  </si>
  <si>
    <t>Cursor Layers</t>
  </si>
  <si>
    <t>Max size 256x256, ARGB8 Linear</t>
  </si>
  <si>
    <t>Pixel Post-processing</t>
  </si>
  <si>
    <t>Max Output devices support</t>
  </si>
  <si>
    <t>DeCompression</t>
  </si>
  <si>
    <t>Input frame buffer decompression</t>
  </si>
  <si>
    <t>DECNano3.0</t>
  </si>
  <si>
    <t>AXI interface</t>
  </si>
  <si>
    <t>256bits</t>
  </si>
  <si>
    <t>Per-Layer Type Configuration (configure each layer independently)</t>
  </si>
  <si>
    <t>Layer ID</t>
  </si>
  <si>
    <t>Configure Feature</t>
  </si>
  <si>
    <t>Layer0</t>
  </si>
  <si>
    <t>Layer Type</t>
  </si>
  <si>
    <t>Compression</t>
  </si>
  <si>
    <t>Support</t>
  </si>
  <si>
    <t>HDR</t>
  </si>
  <si>
    <t>Not Support</t>
  </si>
  <si>
    <t>Scaler</t>
  </si>
  <si>
    <t>Scaler 8x~1/4x</t>
  </si>
  <si>
    <t>Layer1</t>
  </si>
  <si>
    <t>Layer2</t>
  </si>
  <si>
    <t>Layer3</t>
  </si>
  <si>
    <t>Layer4</t>
  </si>
  <si>
    <t>Layer5</t>
  </si>
  <si>
    <t>Layer6</t>
  </si>
  <si>
    <t>Layer7</t>
  </si>
  <si>
    <t>Layer8</t>
  </si>
  <si>
    <t>Layer9</t>
  </si>
  <si>
    <t>Layer10</t>
  </si>
  <si>
    <t>Layer11</t>
  </si>
  <si>
    <t>Layer12</t>
  </si>
  <si>
    <t>Layer13</t>
  </si>
  <si>
    <t>Layer14</t>
  </si>
  <si>
    <t>Layer15</t>
  </si>
  <si>
    <t>Per-PostProcessing Pipeline Configuration (configure each pipeline independently)</t>
  </si>
  <si>
    <t>PostProcess ID</t>
  </si>
  <si>
    <t>PostProcess0</t>
  </si>
  <si>
    <t xml:space="preserve">Configure </t>
  </si>
  <si>
    <t>Degamma+CCM</t>
  </si>
  <si>
    <t>Post-Scaler</t>
  </si>
  <si>
    <t>LTM</t>
  </si>
  <si>
    <t>Sharpness</t>
  </si>
  <si>
    <t>3DLUT</t>
  </si>
  <si>
    <t>PostProcess1</t>
  </si>
  <si>
    <t>Configure</t>
  </si>
  <si>
    <t>PostProcess2</t>
  </si>
  <si>
    <t>PostProcess3</t>
  </si>
  <si>
    <t>Write-back</t>
  </si>
  <si>
    <t>Pipeline num</t>
  </si>
  <si>
    <t>Tilemode</t>
  </si>
  <si>
    <t>Linear only</t>
  </si>
  <si>
    <t>Scenario</t>
  </si>
  <si>
    <t>On-Line write back only</t>
  </si>
  <si>
    <t>Customer-configurable options</t>
  </si>
  <si>
    <t>* Rotation scenario : before rotation 4096*2160 ,after rotation 2160*4096</t>
  </si>
  <si>
    <t>DCNanoUltra-XR Product Features</t>
  </si>
  <si>
    <t>VSI Comment</t>
  </si>
  <si>
    <t>IP Version</t>
  </si>
  <si>
    <t>DCNanoUltra-XR</t>
  </si>
  <si>
    <t>Display Throughput
(Resolution@Frame Rate)</t>
  </si>
  <si>
    <t>Max Display Resolution for Single Display</t>
  </si>
  <si>
    <t>Max Display Resolution for Multiple Display</t>
  </si>
  <si>
    <t>Multi-Display splice mode</t>
  </si>
  <si>
    <t>Pixel Thoughput</t>
  </si>
  <si>
    <t>Pixel Rate (Pixels per Cycle)</t>
  </si>
  <si>
    <t>HW Resource</t>
  </si>
  <si>
    <t>Decompression</t>
  </si>
  <si>
    <t>Data BUS</t>
  </si>
  <si>
    <t>AXI4.0 address width</t>
  </si>
  <si>
    <t>48bit</t>
  </si>
  <si>
    <t>For Pixel Pre-processing</t>
  </si>
  <si>
    <t>AXI4.0 read interface</t>
  </si>
  <si>
    <t>AXI4.0 write interface</t>
  </si>
  <si>
    <t>For Write Back</t>
  </si>
  <si>
    <t>Config BUS</t>
  </si>
  <si>
    <t>APB3.0 interface</t>
  </si>
  <si>
    <t>Cursor Layer</t>
  </si>
  <si>
    <t>Layer type</t>
  </si>
  <si>
    <t>Format</t>
  </si>
  <si>
    <t>Max resolution</t>
  </si>
  <si>
    <t>Rotation with tile input formats</t>
  </si>
  <si>
    <t>Rotation 90°/270°</t>
  </si>
  <si>
    <t>Flip</t>
  </si>
  <si>
    <t>Flip Y/Flip X/Flip X&amp;Flip Y</t>
  </si>
  <si>
    <t>Color Key</t>
  </si>
  <si>
    <t>Crop</t>
  </si>
  <si>
    <t>Swizzle</t>
  </si>
  <si>
    <t>Range 1/4x~8x, Kernel 8x4</t>
  </si>
  <si>
    <t>YUV2RGB</t>
  </si>
  <si>
    <t>Solid color</t>
  </si>
  <si>
    <t>Flexa SBI</t>
  </si>
  <si>
    <t>Blender</t>
  </si>
  <si>
    <t>layers Alpha blending</t>
  </si>
  <si>
    <t>PostProc0</t>
  </si>
  <si>
    <t>Enable</t>
  </si>
  <si>
    <t>DP/DSI sw programmable</t>
  </si>
  <si>
    <t>Gamma</t>
  </si>
  <si>
    <t>PostProc1</t>
  </si>
  <si>
    <t>PostProc2</t>
  </si>
  <si>
    <t>PostProc3</t>
  </si>
  <si>
    <t>Write back</t>
  </si>
  <si>
    <t>RGB2YUV</t>
  </si>
  <si>
    <t>DownSample</t>
  </si>
  <si>
    <t>Feature</t>
  </si>
  <si>
    <t xml:space="preserve">Requests Descriptions </t>
  </si>
  <si>
    <t>Customer Comment</t>
  </si>
  <si>
    <t>4ROI DMA</t>
  </si>
  <si>
    <r>
      <rPr>
        <sz val="11"/>
        <color rgb="FFFF0000"/>
        <rFont val="微软雅黑"/>
        <charset val="134"/>
      </rPr>
      <t>CR项；</t>
    </r>
    <r>
      <rPr>
        <sz val="11"/>
        <rFont val="微软雅黑"/>
        <charset val="134"/>
      </rPr>
      <t>need support 4 ROI DMA</t>
    </r>
  </si>
  <si>
    <t>CR</t>
  </si>
  <si>
    <t>Sync mode with offset</t>
  </si>
  <si>
    <r>
      <rPr>
        <sz val="11"/>
        <color rgb="FFFF0000"/>
        <rFont val="微软雅黑"/>
        <charset val="134"/>
      </rPr>
      <t>CR项；</t>
    </r>
    <r>
      <rPr>
        <sz val="11"/>
        <rFont val="微软雅黑"/>
        <charset val="134"/>
      </rPr>
      <t>带offset syncmode</t>
    </r>
  </si>
  <si>
    <t>EVS mode with offset</t>
  </si>
  <si>
    <r>
      <rPr>
        <sz val="11"/>
        <color rgb="FFFF0000"/>
        <rFont val="微软雅黑"/>
        <charset val="134"/>
      </rPr>
      <t>CR项；</t>
    </r>
    <r>
      <rPr>
        <sz val="11"/>
        <rFont val="微软雅黑"/>
        <charset val="134"/>
      </rPr>
      <t>带offset EVS</t>
    </r>
  </si>
  <si>
    <r>
      <rPr>
        <sz val="11"/>
        <color theme="1"/>
        <rFont val="等线"/>
        <charset val="134"/>
      </rPr>
      <t>行中断周期</t>
    </r>
    <r>
      <rPr>
        <sz val="11"/>
        <color theme="1"/>
        <rFont val="Arial"/>
        <charset val="134"/>
      </rPr>
      <t>intr</t>
    </r>
  </si>
  <si>
    <r>
      <rPr>
        <sz val="11"/>
        <color rgb="FFFF0000"/>
        <rFont val="微软雅黑"/>
        <charset val="134"/>
      </rPr>
      <t>CR项；</t>
    </r>
    <r>
      <rPr>
        <sz val="11"/>
        <rFont val="微软雅黑"/>
        <charset val="134"/>
      </rPr>
      <t>16行为粒度，最大1024行, 自动发起行intr</t>
    </r>
  </si>
  <si>
    <t>New format for simple layer</t>
  </si>
  <si>
    <r>
      <rPr>
        <sz val="11"/>
        <color rgb="FFFF0000"/>
        <rFont val="微软雅黑"/>
        <charset val="134"/>
      </rPr>
      <t>CR项；</t>
    </r>
    <r>
      <rPr>
        <sz val="11"/>
        <rFont val="微软雅黑"/>
        <charset val="134"/>
      </rPr>
      <t>增加 YUV422 1 Planar interleave 10bit</t>
    </r>
  </si>
  <si>
    <t>YUV422 1 Planar interleave 8/10bit</t>
  </si>
  <si>
    <t>Owner</t>
  </si>
  <si>
    <t>Latest update</t>
  </si>
  <si>
    <t>T0</t>
  </si>
  <si>
    <t>Milestone</t>
  </si>
  <si>
    <t>Release Date</t>
  </si>
  <si>
    <t>weeks</t>
  </si>
  <si>
    <t>If T0 20260831 ,试算</t>
  </si>
  <si>
    <t>RTL V0.5</t>
  </si>
  <si>
    <t>T0+4</t>
  </si>
  <si>
    <t xml:space="preserve">* Ready feature in.
* Synthesis and Physical Design trial run
* without new feature Flexa/mulit ROI ,offset </t>
  </si>
  <si>
    <t>RTL V0.7</t>
  </si>
  <si>
    <t>T0+13</t>
  </si>
  <si>
    <r>
      <rPr>
        <sz val="12"/>
        <color rgb="FF000000"/>
        <rFont val="等线"/>
        <charset val="134"/>
      </rPr>
      <t xml:space="preserve">* ALL feature in
* 80% regression clean
* Lint clean, CDC clean
* 90% area accuracy
</t>
    </r>
    <r>
      <rPr>
        <b/>
        <sz val="12"/>
        <color rgb="FF000000"/>
        <rFont val="等线"/>
        <charset val="134"/>
      </rPr>
      <t>* IO and memory freeze</t>
    </r>
  </si>
  <si>
    <t>SW V0.7</t>
  </si>
  <si>
    <t>T0+15</t>
  </si>
  <si>
    <t>* SW Bring up version</t>
  </si>
  <si>
    <t>RTL/SW V1.0</t>
  </si>
  <si>
    <t>T0+20</t>
  </si>
  <si>
    <t>RTL/SW Final：
* 100% Regression clean
* FPGA Clean
* RTL Frozen
* Fully verified</t>
  </si>
  <si>
    <t>1.  4X ROI  cursor layer</t>
  </si>
  <si>
    <t>特征和约束</t>
  </si>
  <si>
    <t>1. A/B/C/D  4个ROI 形状互不对称，一定紧贴屏幕边缘</t>
  </si>
  <si>
    <t>2. 其中A/D 最高128p, 宽可配</t>
  </si>
  <si>
    <t>3. 其中B/C 最宽128p, 高可配</t>
  </si>
  <si>
    <t>*不排斥从DDR读数据，但需要尽量不读无效数据(图中淡黄色框部分)</t>
  </si>
  <si>
    <t>Alpha Mask Bandwidth per panel（A8）</t>
  </si>
  <si>
    <t>Display Resolution Width</t>
  </si>
  <si>
    <t>Display Resolution Hight</t>
  </si>
  <si>
    <t>FPS</t>
  </si>
  <si>
    <t>A8/I8 BW（MB/S）</t>
  </si>
  <si>
    <t>Peak BW (MB/S)</t>
  </si>
  <si>
    <t>*a 这里的峰值带宽理论上不是出现在A/B/C/D的遮挡层（因为UI界面和遮挡层不应该重叠），而是出现在GPU 的UI 层（图中橘色部分）。此时场景是主视频层（From SRE）ARGB flexa without bw cost + GPU 压缩后的ARGB 2BPP （2：1压缩）</t>
  </si>
  <si>
    <t>*b 如果a推论不成立（即UI界面和遮挡层存在重叠，峰值带宽各自加上A8/I8 BW即可）</t>
  </si>
  <si>
    <t>2. DPU Start with EVS mode</t>
  </si>
  <si>
    <t>此时屏幕</t>
  </si>
  <si>
    <t>start flow</t>
  </si>
  <si>
    <t>* DPU 上电后，panel start free run mode(正常显示)</t>
  </si>
  <si>
    <r>
      <rPr>
        <sz val="10"/>
        <color theme="1"/>
        <rFont val="等线"/>
        <charset val="134"/>
      </rPr>
      <t xml:space="preserve">Video Mode 常规background/logo only . </t>
    </r>
    <r>
      <rPr>
        <b/>
        <sz val="10"/>
        <color theme="1"/>
        <rFont val="等线"/>
        <charset val="134"/>
      </rPr>
      <t xml:space="preserve"> with offset !!(DPU 内部实现，DP sync offset cnt 为正)，只能工作在DP sync</t>
    </r>
  </si>
  <si>
    <t>* 软件控制 DPU panel stop ，</t>
  </si>
  <si>
    <t>屏幕黑屏，显示停止</t>
  </si>
  <si>
    <t>* 软件寄存器配置</t>
  </si>
  <si>
    <t>* DPU EVS mode start</t>
  </si>
  <si>
    <t xml:space="preserve">EVS Mode 刷新屏幕，DPU stand by.  with offset !!  </t>
  </si>
  <si>
    <t>End flow</t>
  </si>
  <si>
    <t>* EVS mode stop</t>
  </si>
  <si>
    <t>TODO: check clock of EVS trigger</t>
  </si>
  <si>
    <t>offset 粒度是pixel cycle ,  按最大1帧.32bit cnt</t>
  </si>
  <si>
    <t>3. 一路输出复制另外一路输出</t>
  </si>
  <si>
    <t>场景</t>
  </si>
  <si>
    <t>带宽</t>
  </si>
  <si>
    <t xml:space="preserve">copy mode without offset </t>
  </si>
  <si>
    <t>1x display 内容</t>
  </si>
  <si>
    <t>copy mode with offset</t>
  </si>
  <si>
    <t>2x display 内容</t>
  </si>
  <si>
    <t>结论：offset 模式（EVS）下，copy mode 不开</t>
  </si>
  <si>
    <t>最大分吞吐量</t>
  </si>
  <si>
    <t>2880×1800 @ 120 fps (每个引擎)</t>
  </si>
  <si>
    <t>调整到144FPS</t>
  </si>
  <si>
    <t>最大分辨率</t>
  </si>
  <si>
    <t>3840X2400</t>
  </si>
  <si>
    <t>调整到81FPS</t>
  </si>
  <si>
    <t>72 FPS</t>
  </si>
  <si>
    <t>PPC</t>
  </si>
  <si>
    <t>1xPPC</t>
  </si>
  <si>
    <t>1PPC</t>
  </si>
  <si>
    <t>core clock</t>
  </si>
  <si>
    <t>800Mhz</t>
  </si>
  <si>
    <t>调整到900MHz</t>
  </si>
  <si>
    <t>实例数 (panel number)</t>
  </si>
  <si>
    <t>2 个 (每个 OLED 对应 1 个)</t>
  </si>
  <si>
    <t>输入色彩格式</t>
  </si>
  <si>
    <t xml:space="preserve">主视频: RGB888, RGB101010
</t>
  </si>
  <si>
    <r>
      <rPr>
        <sz val="11"/>
        <rFont val="微软雅黑"/>
        <charset val="134"/>
      </rPr>
      <t>没有tile; </t>
    </r>
    <r>
      <rPr>
        <b/>
        <sz val="11"/>
        <rFont val="微软雅黑"/>
        <charset val="134"/>
      </rPr>
      <t>with flexa</t>
    </r>
    <r>
      <rPr>
        <sz val="11"/>
        <rFont val="微软雅黑"/>
        <charset val="134"/>
      </rPr>
      <t xml:space="preserve">
20260825:YUV  DP_ISP/VPU without flexa
                         YUV422 1 Planar interleave 8bit/10bit
</t>
    </r>
    <r>
      <rPr>
        <sz val="11"/>
        <color rgb="FFFF0000"/>
        <rFont val="微软雅黑"/>
        <charset val="134"/>
      </rPr>
      <t>CR项；</t>
    </r>
    <r>
      <rPr>
        <sz val="11"/>
        <rFont val="微软雅黑"/>
        <charset val="134"/>
      </rPr>
      <t>增加 YUV422 1 Planar interleave 10bit</t>
    </r>
  </si>
  <si>
    <t>叠加层: ARGB8888</t>
  </si>
  <si>
    <t> GC, with DECNano 3.0</t>
  </si>
  <si>
    <t>Cursor: ARGB8888</t>
  </si>
  <si>
    <r>
      <rPr>
        <sz val="11"/>
        <color rgb="FFFF0000"/>
        <rFont val="微软雅黑"/>
        <charset val="134"/>
      </rPr>
      <t>CR项；</t>
    </r>
    <r>
      <rPr>
        <sz val="11"/>
        <rFont val="微软雅黑"/>
        <charset val="134"/>
      </rPr>
      <t>need support roi &gt;= 4 .   软件OK</t>
    </r>
  </si>
  <si>
    <t>输出色彩格式</t>
  </si>
  <si>
    <t>RGB, YUV444, YUV422</t>
  </si>
  <si>
    <t>10bit刚需, 8bit也需要</t>
  </si>
  <si>
    <t>CSC 色彩空间转换</t>
  </si>
  <si>
    <t>支持输入 / 输出格式之间全部转换</t>
  </si>
  <si>
    <t>非线性</t>
  </si>
  <si>
    <t>支持非线性输入</t>
  </si>
  <si>
    <t>图层合成</t>
  </si>
  <si>
    <r>
      <rPr>
        <sz val="11"/>
        <color theme="1"/>
        <rFont val="微软雅黑"/>
        <charset val="134"/>
      </rPr>
      <t>2x3 层: 1 主视频层 + 1 叠加层 + 1 光标层 (1xsimple layer+1OSD(DCnaond) + 1 cursor layer)</t>
    </r>
    <r>
      <rPr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>图像合成在非线性空间, GPU 输出OSD 在线性空间, 叠加层osd blending 前需要加gamma</t>
    </r>
  </si>
  <si>
    <t>Offset相位需要错开10行, 最大场景±半帧</t>
  </si>
  <si>
    <t>左右同步</t>
  </si>
  <si>
    <t>可配置行号同步; 配置后硬件保证</t>
  </si>
  <si>
    <t>复制模式</t>
  </si>
  <si>
    <t>一路输出复制另外一路输出</t>
  </si>
  <si>
    <t>offset 时关闭copy mode</t>
  </si>
  <si>
    <t>DPRX 同步</t>
  </si>
  <si>
    <t>与 DPRX 行号同步, 跨时间保持</t>
  </si>
  <si>
    <r>
      <rPr>
        <sz val="11"/>
        <color rgb="FFFF0000"/>
        <rFont val="微软雅黑"/>
        <charset val="134"/>
      </rPr>
      <t>CR项；</t>
    </r>
    <r>
      <rPr>
        <sz val="11"/>
        <rFont val="微软雅黑"/>
        <charset val="134"/>
      </rPr>
      <t>, 需要在EVS之前配置好寄存器。
20260826：两种offset 。  1. DPU启动的时候，这个时候只有SW trigger ，此时一路outif 启动固定延迟offset0过后另一路自动启动。   2.  DPU启动完毕，等待RX EVS trigger， outif0和outif1都有各自EVS trigger的input pin ,SOC连线接进来即可。且outif0/1各自有自己独立的offset 32bit寄存器配置。从此时开始DPU作为从设备，等待RX trigger然后根据各自的offset配置启动。</t>
    </r>
  </si>
  <si>
    <t>Underflow 下溢处理</t>
  </si>
  <si>
    <t>鲁棒恢复, 错误不会向外扩散;</t>
  </si>
  <si>
    <t>中断延迟</t>
  </si>
  <si>
    <t>低延迟, 精准行号中断</t>
  </si>
  <si>
    <r>
      <rPr>
        <sz val="11"/>
        <color rgb="FFFF0000"/>
        <rFont val="微软雅黑"/>
        <charset val="134"/>
      </rPr>
      <t>CR项；</t>
    </r>
    <r>
      <rPr>
        <sz val="11"/>
        <rFont val="微软雅黑"/>
        <charset val="134"/>
      </rPr>
      <t>16行为粒度, 最大1024行, 尾巴上除不尽不需要再发, 可以merge</t>
    </r>
  </si>
  <si>
    <t>Writeback 回写</t>
  </si>
  <si>
    <t>支持将合成后显示内容写回 DDR</t>
  </si>
  <si>
    <t>需要并发在线, Linear</t>
  </si>
  <si>
    <t>视频速率同步</t>
  </si>
  <si>
    <t>输入 / 输出视频速率同步</t>
  </si>
  <si>
    <t>17行</t>
  </si>
  <si>
    <t>输出mode</t>
  </si>
  <si>
    <t>Video mode 和 command mode</t>
  </si>
  <si>
    <t>output interface</t>
  </si>
  <si>
    <t>DSI and eDP;</t>
  </si>
  <si>
    <t>OFIFO SIZE</t>
  </si>
  <si>
    <t>2x8KBytes; configurable </t>
  </si>
  <si>
    <t>HW Configurable, 维持16KB</t>
  </si>
  <si>
    <t>interface PPC</t>
  </si>
  <si>
    <t>1/2/4 PPC configurable</t>
  </si>
  <si>
    <t>SW Configurable</t>
  </si>
  <si>
    <t>Bus interface</t>
  </si>
  <si>
    <t>AXI4, 256bits, addr:40bits ;
APB, 32bits;</t>
  </si>
  <si>
    <t>2PPC</t>
  </si>
  <si>
    <t>RDMA format</t>
  </si>
  <si>
    <t>Write back format</t>
  </si>
  <si>
    <r>
      <rPr>
        <b/>
        <sz val="12"/>
        <color theme="1"/>
        <rFont val="Calibri"/>
        <charset val="0"/>
      </rPr>
      <t>Color Format</t>
    </r>
  </si>
  <si>
    <r>
      <rPr>
        <b/>
        <sz val="12"/>
        <color theme="1"/>
        <rFont val="Calibri"/>
        <charset val="0"/>
      </rPr>
      <t>P</t>
    </r>
    <r>
      <rPr>
        <b/>
        <sz val="12"/>
        <color theme="1"/>
        <rFont val="Calibri"/>
        <charset val="0"/>
      </rPr>
      <t>lane</t>
    </r>
  </si>
  <si>
    <r>
      <rPr>
        <b/>
        <sz val="12"/>
        <color theme="1"/>
        <rFont val="Calibri"/>
        <charset val="0"/>
      </rPr>
      <t>Tile Mode</t>
    </r>
  </si>
  <si>
    <t>Video layer 
(Rotation90/270)</t>
  </si>
  <si>
    <t>Simple layer</t>
  </si>
  <si>
    <t>Video layer</t>
  </si>
  <si>
    <t>A2RGB10</t>
  </si>
  <si>
    <r>
      <rPr>
        <sz val="12"/>
        <color theme="1"/>
        <rFont val="Calibri"/>
        <charset val="0"/>
      </rPr>
      <t>Linear</t>
    </r>
  </si>
  <si>
    <t>Not support</t>
  </si>
  <si>
    <r>
      <rPr>
        <sz val="12"/>
        <color theme="1"/>
        <rFont val="Calibri"/>
        <charset val="0"/>
      </rPr>
      <t>A</t>
    </r>
    <r>
      <rPr>
        <sz val="12"/>
        <color theme="1"/>
        <rFont val="Calibri"/>
        <charset val="0"/>
      </rPr>
      <t>RGB8888</t>
    </r>
  </si>
  <si>
    <r>
      <rPr>
        <sz val="12"/>
        <color theme="1"/>
        <rFont val="Calibri"/>
        <charset val="0"/>
      </rPr>
      <t>Tile 4x4</t>
    </r>
  </si>
  <si>
    <r>
      <rPr>
        <sz val="12"/>
        <color theme="1"/>
        <rFont val="Calibri"/>
        <charset val="0"/>
      </rPr>
      <t>ARGB8565</t>
    </r>
  </si>
  <si>
    <t>X2RGB10</t>
  </si>
  <si>
    <r>
      <rPr>
        <sz val="12"/>
        <color theme="1"/>
        <rFont val="Calibri"/>
        <charset val="0"/>
      </rPr>
      <t>ARGB4444</t>
    </r>
  </si>
  <si>
    <r>
      <rPr>
        <sz val="12"/>
        <color theme="1"/>
        <rFont val="Calibri"/>
        <charset val="0"/>
      </rPr>
      <t>ARGB1555</t>
    </r>
  </si>
  <si>
    <t>XRGB888</t>
  </si>
  <si>
    <r>
      <rPr>
        <sz val="12"/>
        <color theme="1"/>
        <rFont val="Calibri"/>
        <charset val="0"/>
      </rPr>
      <t>RGB888</t>
    </r>
  </si>
  <si>
    <r>
      <rPr>
        <sz val="12"/>
        <color theme="1"/>
        <rFont val="Calibri"/>
        <charset val="0"/>
      </rPr>
      <t>RGB565</t>
    </r>
  </si>
  <si>
    <t>YUY2(YUV422)</t>
  </si>
  <si>
    <r>
      <rPr>
        <sz val="12"/>
        <color theme="1"/>
        <rFont val="Calibri"/>
        <charset val="0"/>
      </rPr>
      <t>Gray(L8)</t>
    </r>
  </si>
  <si>
    <t>P010(YUV420)</t>
  </si>
  <si>
    <t>NV16(YUV422)</t>
  </si>
  <si>
    <t>RGB888</t>
  </si>
  <si>
    <t>P210(YUV422)</t>
  </si>
  <si>
    <t>NV12(YUV420)</t>
  </si>
  <si>
    <t>Outif format</t>
  </si>
  <si>
    <t>Port</t>
  </si>
  <si>
    <t>Bitdepth</t>
  </si>
  <si>
    <t>Tile 8x8</t>
  </si>
  <si>
    <t>DSI</t>
  </si>
  <si>
    <t>YUV422</t>
  </si>
  <si>
    <t>YUY2(YUV422) 8bit packed</t>
  </si>
  <si>
    <t>Tile 4x4</t>
  </si>
  <si>
    <t>Gray(L8)</t>
  </si>
  <si>
    <t>RGB10</t>
  </si>
  <si>
    <t>DP</t>
  </si>
  <si>
    <t>YUV444</t>
  </si>
  <si>
    <t>L8A8</t>
  </si>
  <si>
    <t>A8</t>
  </si>
  <si>
    <t>with flexa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</si>
</sst>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m/d/yyyy"/>
  </numFmts>
  <fonts count="55">
    <font>
      <sz val="11"/>
      <color theme="1"/>
      <name val="等线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2"/>
      <color rgb="FFFF0000"/>
      <name val="Calibri"/>
      <charset val="134"/>
    </font>
    <font>
      <sz val="10"/>
      <color theme="1"/>
      <name val="等线"/>
      <charset val="134"/>
    </font>
    <font>
      <b/>
      <u/>
      <sz val="10"/>
      <color theme="1"/>
      <name val="等线"/>
      <charset val="134"/>
    </font>
    <font>
      <b/>
      <sz val="10"/>
      <color theme="1"/>
      <name val="等线"/>
      <charset val="134"/>
    </font>
    <font>
      <strike/>
      <sz val="10"/>
      <color theme="1"/>
      <name val="等线"/>
      <charset val="134"/>
    </font>
    <font>
      <b/>
      <sz val="10"/>
      <color theme="0"/>
      <name val="Calibri"/>
      <charset val="134"/>
    </font>
    <font>
      <b/>
      <sz val="10"/>
      <color theme="1"/>
      <name val="Calibri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trike/>
      <sz val="11"/>
      <name val="微软雅黑"/>
      <charset val="134"/>
    </font>
    <font>
      <sz val="11"/>
      <color rgb="FFFF0000"/>
      <name val="微软雅黑"/>
      <charset val="134"/>
    </font>
    <font>
      <sz val="10"/>
      <name val="等线"/>
      <charset val="134"/>
    </font>
    <font>
      <b/>
      <sz val="10"/>
      <color rgb="FFFFFFFF"/>
      <name val="等线"/>
      <charset val="134"/>
    </font>
    <font>
      <b/>
      <sz val="10"/>
      <color rgb="FF000000"/>
      <name val="等线"/>
      <charset val="134"/>
    </font>
    <font>
      <b/>
      <sz val="12"/>
      <color rgb="FFFFFFFF"/>
      <name val="等线"/>
      <charset val="134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sz val="11"/>
      <color theme="1"/>
      <name val="Arial"/>
      <charset val="134"/>
    </font>
    <font>
      <sz val="11"/>
      <color theme="0"/>
      <name val="等线"/>
      <charset val="134"/>
    </font>
    <font>
      <b/>
      <sz val="10"/>
      <color theme="0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rgb="FF000000"/>
      <name val="Calibri"/>
      <charset val="134"/>
    </font>
    <font>
      <b/>
      <sz val="10"/>
      <color rgb="FFFFFFFF"/>
      <name val="Calibri"/>
      <charset val="1"/>
    </font>
    <font>
      <b/>
      <sz val="10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0"/>
    </font>
    <font>
      <b/>
      <sz val="12"/>
      <color theme="1"/>
      <name val="Calibri"/>
      <charset val="0"/>
    </font>
    <font>
      <b/>
      <sz val="12"/>
      <color rgb="FF000000"/>
      <name val="等线"/>
      <charset val="134"/>
    </font>
    <font>
      <b/>
      <sz val="11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C00000"/>
        <bgColor rgb="FFFF0000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EFE6E1"/>
        <bgColor rgb="FFEEECE1"/>
      </patternFill>
    </fill>
    <fill>
      <patternFill patternType="solid">
        <fgColor rgb="FF4472C4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theme="0" tint="-0.35"/>
      </right>
      <top style="medium">
        <color auto="1"/>
      </top>
      <bottom style="medium">
        <color auto="1"/>
      </bottom>
      <diagonal/>
    </border>
    <border>
      <left style="medium">
        <color theme="0" tint="-0.35"/>
      </left>
      <right style="medium">
        <color theme="0" tint="-0.35"/>
      </right>
      <top style="medium">
        <color auto="1"/>
      </top>
      <bottom style="medium">
        <color auto="1"/>
      </bottom>
      <diagonal/>
    </border>
    <border>
      <left style="medium">
        <color theme="0" tint="-0.35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BEBEBE"/>
      </left>
      <right style="medium">
        <color rgb="FFBEBEBE"/>
      </right>
      <top/>
      <bottom style="medium">
        <color rgb="FFBEBEBE"/>
      </bottom>
      <diagonal/>
    </border>
    <border>
      <left style="medium">
        <color theme="0" tint="-0.35"/>
      </left>
      <right style="medium">
        <color theme="0" tint="-0.35"/>
      </right>
      <top/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 style="medium">
        <color rgb="FFBEBEBE"/>
      </bottom>
      <diagonal/>
    </border>
    <border>
      <left style="medium">
        <color theme="0" tint="-0.35"/>
      </left>
      <right style="medium">
        <color theme="0" tint="-0.35"/>
      </right>
      <top style="medium">
        <color theme="0" tint="-0.35"/>
      </top>
      <bottom style="medium">
        <color theme="0" tint="-0.35"/>
      </bottom>
      <diagonal/>
    </border>
    <border>
      <left style="medium">
        <color theme="0" tint="-0.35"/>
      </left>
      <right style="medium">
        <color theme="0" tint="-0.35"/>
      </right>
      <top style="medium">
        <color theme="0" tint="-0.35"/>
      </top>
      <bottom/>
      <diagonal/>
    </border>
    <border>
      <left style="medium">
        <color theme="0" tint="-0.35"/>
      </left>
      <right style="medium">
        <color theme="0" tint="-0.35"/>
      </right>
      <top/>
      <bottom style="medium">
        <color theme="0" tint="-0.35"/>
      </bottom>
      <diagonal/>
    </border>
    <border>
      <left style="medium">
        <color rgb="FFBEBEBE"/>
      </left>
      <right style="medium">
        <color rgb="FFBEBEBE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8" borderId="5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4" applyNumberFormat="0" applyFill="0" applyAlignment="0" applyProtection="0">
      <alignment vertical="center"/>
    </xf>
    <xf numFmtId="0" fontId="38" fillId="0" borderId="54" applyNumberFormat="0" applyFill="0" applyAlignment="0" applyProtection="0">
      <alignment vertical="center"/>
    </xf>
    <xf numFmtId="0" fontId="39" fillId="0" borderId="5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56" applyNumberFormat="0" applyAlignment="0" applyProtection="0">
      <alignment vertical="center"/>
    </xf>
    <xf numFmtId="0" fontId="41" fillId="10" borderId="57" applyNumberFormat="0" applyAlignment="0" applyProtection="0">
      <alignment vertical="center"/>
    </xf>
    <xf numFmtId="0" fontId="42" fillId="10" borderId="56" applyNumberFormat="0" applyAlignment="0" applyProtection="0">
      <alignment vertical="center"/>
    </xf>
    <xf numFmtId="0" fontId="43" fillId="11" borderId="58" applyNumberFormat="0" applyAlignment="0" applyProtection="0">
      <alignment vertical="center"/>
    </xf>
    <xf numFmtId="0" fontId="44" fillId="0" borderId="59" applyNumberFormat="0" applyFill="0" applyAlignment="0" applyProtection="0">
      <alignment vertical="center"/>
    </xf>
    <xf numFmtId="0" fontId="45" fillId="0" borderId="60" applyNumberFormat="0" applyFill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</cellStyleXfs>
  <cellXfs count="20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right" vertical="center" wrapText="1"/>
    </xf>
    <xf numFmtId="0" fontId="3" fillId="0" borderId="10" xfId="0" applyFont="1" applyFill="1" applyBorder="1" applyAlignment="1">
      <alignment vertical="center"/>
    </xf>
    <xf numFmtId="0" fontId="3" fillId="0" borderId="10" xfId="0" applyFont="1" applyFill="1" applyBorder="1" applyAlignment="1">
      <alignment vertical="top" wrapText="1"/>
    </xf>
    <xf numFmtId="0" fontId="3" fillId="0" borderId="11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horizontal="right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right" vertical="center" wrapText="1"/>
    </xf>
    <xf numFmtId="0" fontId="3" fillId="0" borderId="11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right" vertical="center" wrapText="1"/>
    </xf>
    <xf numFmtId="0" fontId="3" fillId="0" borderId="9" xfId="0" applyFont="1" applyFill="1" applyBorder="1" applyAlignment="1">
      <alignment horizontal="right" vertical="center"/>
    </xf>
    <xf numFmtId="0" fontId="4" fillId="0" borderId="10" xfId="0" applyFont="1" applyFill="1" applyBorder="1" applyAlignment="1">
      <alignment vertical="top" wrapText="1"/>
    </xf>
    <xf numFmtId="0" fontId="3" fillId="0" borderId="7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horizontal="right" vertical="center" wrapText="1"/>
    </xf>
    <xf numFmtId="0" fontId="3" fillId="0" borderId="11" xfId="0" applyFont="1" applyFill="1" applyBorder="1" applyAlignment="1">
      <alignment horizontal="right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top" wrapText="1"/>
    </xf>
    <xf numFmtId="0" fontId="0" fillId="0" borderId="15" xfId="0" applyBorder="1"/>
    <xf numFmtId="0" fontId="5" fillId="0" borderId="0" xfId="0" applyFont="1"/>
    <xf numFmtId="0" fontId="6" fillId="0" borderId="0" xfId="0" applyFont="1"/>
    <xf numFmtId="0" fontId="5" fillId="0" borderId="15" xfId="0" applyFont="1" applyBorder="1"/>
    <xf numFmtId="0" fontId="5" fillId="0" borderId="15" xfId="0" applyFont="1" applyBorder="1" applyAlignment="1">
      <alignment horizontal="left"/>
    </xf>
    <xf numFmtId="176" fontId="5" fillId="0" borderId="15" xfId="0" applyNumberFormat="1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3" borderId="1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/>
    </xf>
    <xf numFmtId="0" fontId="10" fillId="0" borderId="15" xfId="0" applyFont="1" applyBorder="1" applyAlignment="1" applyProtection="1">
      <alignment horizontal="left" vertical="center" wrapText="1"/>
      <protection locked="0"/>
    </xf>
    <xf numFmtId="0" fontId="11" fillId="0" borderId="15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3" fillId="0" borderId="15" xfId="0" applyFont="1" applyBorder="1" applyAlignment="1">
      <alignment vertical="top" wrapText="1"/>
    </xf>
    <xf numFmtId="0" fontId="11" fillId="0" borderId="16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4" fillId="0" borderId="15" xfId="0" applyFont="1" applyBorder="1" applyAlignment="1">
      <alignment vertical="top" wrapText="1"/>
    </xf>
    <xf numFmtId="0" fontId="15" fillId="0" borderId="15" xfId="0" applyFont="1" applyBorder="1"/>
    <xf numFmtId="0" fontId="5" fillId="0" borderId="0" xfId="0" applyFont="1" applyAlignment="1">
      <alignment wrapText="1"/>
    </xf>
    <xf numFmtId="14" fontId="5" fillId="0" borderId="0" xfId="0" applyNumberFormat="1" applyFont="1" applyAlignment="1">
      <alignment horizontal="left"/>
    </xf>
    <xf numFmtId="0" fontId="16" fillId="4" borderId="19" xfId="0" applyFont="1" applyFill="1" applyBorder="1" applyAlignment="1">
      <alignment horizontal="left" vertical="center"/>
    </xf>
    <xf numFmtId="0" fontId="16" fillId="4" borderId="19" xfId="0" applyFont="1" applyFill="1" applyBorder="1" applyAlignment="1">
      <alignment vertical="center"/>
    </xf>
    <xf numFmtId="0" fontId="17" fillId="0" borderId="19" xfId="0" applyFont="1" applyBorder="1" applyAlignment="1">
      <alignment horizontal="center" vertical="center"/>
    </xf>
    <xf numFmtId="177" fontId="17" fillId="0" borderId="19" xfId="0" applyNumberFormat="1" applyFont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/>
    </xf>
    <xf numFmtId="0" fontId="19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right" vertical="center" wrapText="1"/>
    </xf>
    <xf numFmtId="0" fontId="19" fillId="0" borderId="19" xfId="0" applyFont="1" applyBorder="1" applyAlignment="1">
      <alignment horizontal="left" vertical="center" wrapText="1"/>
    </xf>
    <xf numFmtId="177" fontId="5" fillId="0" borderId="20" xfId="0" applyNumberFormat="1" applyFont="1" applyBorder="1" applyAlignment="1">
      <alignment horizontal="left"/>
    </xf>
    <xf numFmtId="177" fontId="20" fillId="0" borderId="19" xfId="0" applyNumberFormat="1" applyFont="1" applyBorder="1" applyAlignment="1">
      <alignment horizontal="right" vertical="center"/>
    </xf>
    <xf numFmtId="0" fontId="21" fillId="0" borderId="15" xfId="0" applyFont="1" applyBorder="1"/>
    <xf numFmtId="0" fontId="22" fillId="0" borderId="0" xfId="0" applyFont="1"/>
    <xf numFmtId="0" fontId="23" fillId="3" borderId="21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left" vertical="center"/>
    </xf>
    <xf numFmtId="0" fontId="25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16" xfId="0" applyFont="1" applyBorder="1" applyAlignment="1">
      <alignment horizontal="center" vertical="center"/>
    </xf>
    <xf numFmtId="0" fontId="24" fillId="0" borderId="15" xfId="0" applyFont="1" applyBorder="1" applyAlignment="1">
      <alignment horizontal="left" vertical="center"/>
    </xf>
    <xf numFmtId="0" fontId="24" fillId="0" borderId="17" xfId="0" applyFont="1" applyBorder="1" applyAlignment="1">
      <alignment horizontal="center" vertical="center"/>
    </xf>
    <xf numFmtId="0" fontId="24" fillId="0" borderId="23" xfId="0" applyFont="1" applyBorder="1" applyAlignment="1">
      <alignment horizontal="left" vertical="center"/>
    </xf>
    <xf numFmtId="0" fontId="24" fillId="0" borderId="18" xfId="0" applyFont="1" applyBorder="1" applyAlignment="1">
      <alignment vertical="center"/>
    </xf>
    <xf numFmtId="0" fontId="24" fillId="0" borderId="15" xfId="0" applyFont="1" applyBorder="1" applyAlignment="1">
      <alignment horizontal="center" vertical="center" wrapText="1"/>
    </xf>
    <xf numFmtId="0" fontId="24" fillId="5" borderId="15" xfId="0" applyFont="1" applyFill="1" applyBorder="1" applyAlignment="1">
      <alignment vertical="center"/>
    </xf>
    <xf numFmtId="0" fontId="24" fillId="0" borderId="24" xfId="0" applyFont="1" applyBorder="1" applyAlignment="1">
      <alignment horizontal="left" vertical="center"/>
    </xf>
    <xf numFmtId="0" fontId="24" fillId="0" borderId="18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6" fillId="0" borderId="15" xfId="0" applyFont="1" applyBorder="1" applyAlignment="1">
      <alignment horizontal="left" vertical="center"/>
    </xf>
    <xf numFmtId="0" fontId="0" fillId="0" borderId="15" xfId="0" applyBorder="1"/>
    <xf numFmtId="0" fontId="27" fillId="0" borderId="0" xfId="0" applyFont="1" applyAlignment="1">
      <alignment vertical="center"/>
    </xf>
    <xf numFmtId="0" fontId="27" fillId="0" borderId="0" xfId="0" applyFont="1" applyAlignment="1" applyProtection="1">
      <alignment horizontal="left" vertical="center"/>
      <protection locked="0"/>
    </xf>
    <xf numFmtId="0" fontId="27" fillId="0" borderId="0" xfId="0" applyFont="1" applyAlignment="1">
      <alignment horizontal="left" vertical="center"/>
    </xf>
    <xf numFmtId="0" fontId="27" fillId="0" borderId="0" xfId="0" applyFont="1" applyAlignment="1" applyProtection="1">
      <alignment vertical="center"/>
      <protection locked="0"/>
    </xf>
    <xf numFmtId="0" fontId="9" fillId="3" borderId="25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15" xfId="0" applyFont="1" applyFill="1" applyBorder="1" applyAlignment="1">
      <alignment vertical="center" wrapText="1"/>
    </xf>
    <xf numFmtId="0" fontId="9" fillId="3" borderId="15" xfId="0" applyFont="1" applyFill="1" applyBorder="1" applyAlignment="1" applyProtection="1">
      <alignment horizontal="center" vertical="center" wrapText="1"/>
      <protection locked="0"/>
    </xf>
    <xf numFmtId="0" fontId="9" fillId="3" borderId="15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 applyProtection="1">
      <alignment horizontal="left" vertical="center" wrapText="1"/>
      <protection locked="0"/>
    </xf>
    <xf numFmtId="0" fontId="27" fillId="0" borderId="26" xfId="0" applyFont="1" applyBorder="1" applyAlignment="1">
      <alignment vertical="center"/>
    </xf>
    <xf numFmtId="0" fontId="27" fillId="0" borderId="18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8" fillId="6" borderId="28" xfId="0" applyFont="1" applyFill="1" applyBorder="1" applyAlignment="1" applyProtection="1">
      <alignment horizontal="center" vertical="center"/>
      <protection locked="0"/>
    </xf>
    <xf numFmtId="0" fontId="27" fillId="0" borderId="18" xfId="0" applyFont="1" applyBorder="1" applyAlignment="1">
      <alignment horizontal="left" vertical="center" wrapText="1"/>
    </xf>
    <xf numFmtId="0" fontId="27" fillId="0" borderId="18" xfId="0" applyFont="1" applyBorder="1" applyAlignment="1" applyProtection="1">
      <alignment vertical="center" wrapText="1"/>
      <protection locked="0"/>
    </xf>
    <xf numFmtId="0" fontId="27" fillId="0" borderId="27" xfId="0" applyFont="1" applyBorder="1" applyAlignment="1">
      <alignment horizontal="left" vertical="center" wrapText="1"/>
    </xf>
    <xf numFmtId="0" fontId="27" fillId="0" borderId="0" xfId="0" applyFont="1" applyAlignment="1" applyProtection="1">
      <alignment vertical="center" wrapText="1"/>
      <protection locked="0"/>
    </xf>
    <xf numFmtId="0" fontId="27" fillId="0" borderId="29" xfId="0" applyFont="1" applyBorder="1" applyAlignment="1">
      <alignment horizontal="left" vertical="center"/>
    </xf>
    <xf numFmtId="0" fontId="28" fillId="0" borderId="2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6" borderId="31" xfId="0" applyFont="1" applyFill="1" applyBorder="1" applyAlignment="1" applyProtection="1">
      <alignment horizontal="center" vertical="center"/>
      <protection locked="0"/>
    </xf>
    <xf numFmtId="0" fontId="27" fillId="0" borderId="15" xfId="0" applyFont="1" applyBorder="1" applyAlignment="1">
      <alignment horizontal="left" vertical="center" wrapText="1"/>
    </xf>
    <xf numFmtId="0" fontId="27" fillId="0" borderId="15" xfId="0" applyFont="1" applyBorder="1" applyAlignment="1" applyProtection="1">
      <alignment vertical="center"/>
      <protection locked="0"/>
    </xf>
    <xf numFmtId="0" fontId="27" fillId="0" borderId="32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7" fillId="0" borderId="32" xfId="0" applyFont="1" applyBorder="1" applyAlignment="1">
      <alignment horizontal="left" vertical="center"/>
    </xf>
    <xf numFmtId="0" fontId="27" fillId="0" borderId="29" xfId="0" applyFont="1" applyBorder="1" applyAlignment="1">
      <alignment horizontal="left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8" fillId="6" borderId="31" xfId="0" applyFont="1" applyFill="1" applyBorder="1" applyAlignment="1" applyProtection="1">
      <alignment horizontal="center" vertical="center" wrapText="1"/>
      <protection locked="0"/>
    </xf>
    <xf numFmtId="0" fontId="27" fillId="0" borderId="15" xfId="0" applyFont="1" applyBorder="1" applyAlignment="1" applyProtection="1">
      <alignment vertical="center" wrapText="1"/>
      <protection locked="0"/>
    </xf>
    <xf numFmtId="0" fontId="29" fillId="0" borderId="32" xfId="0" applyFont="1" applyBorder="1" applyAlignment="1">
      <alignment horizontal="left" vertical="center" wrapText="1"/>
    </xf>
    <xf numFmtId="0" fontId="27" fillId="0" borderId="33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8" fillId="6" borderId="36" xfId="0" applyFont="1" applyFill="1" applyBorder="1" applyAlignment="1" applyProtection="1">
      <alignment horizontal="center" vertical="center"/>
      <protection locked="0"/>
    </xf>
    <xf numFmtId="0" fontId="27" fillId="0" borderId="34" xfId="0" applyFont="1" applyBorder="1" applyAlignment="1">
      <alignment horizontal="left" vertical="center" wrapText="1"/>
    </xf>
    <xf numFmtId="0" fontId="27" fillId="0" borderId="34" xfId="0" applyFont="1" applyBorder="1" applyAlignment="1" applyProtection="1">
      <alignment vertical="center"/>
      <protection locked="0"/>
    </xf>
    <xf numFmtId="0" fontId="27" fillId="0" borderId="35" xfId="0" applyFont="1" applyBorder="1" applyAlignment="1">
      <alignment horizontal="left" vertical="center"/>
    </xf>
    <xf numFmtId="0" fontId="30" fillId="7" borderId="37" xfId="0" applyFont="1" applyFill="1" applyBorder="1" applyAlignment="1">
      <alignment vertical="center"/>
    </xf>
    <xf numFmtId="0" fontId="30" fillId="7" borderId="0" xfId="0" applyFont="1" applyFill="1" applyAlignment="1">
      <alignment vertical="center"/>
    </xf>
    <xf numFmtId="0" fontId="30" fillId="3" borderId="17" xfId="0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vertical="center"/>
    </xf>
    <xf numFmtId="0" fontId="30" fillId="3" borderId="15" xfId="0" applyFont="1" applyFill="1" applyBorder="1" applyAlignment="1" applyProtection="1">
      <alignment horizontal="center" vertical="center"/>
      <protection locked="0"/>
    </xf>
    <xf numFmtId="0" fontId="24" fillId="0" borderId="38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27" xfId="0" applyFont="1" applyBorder="1" applyAlignment="1">
      <alignment horizontal="right" vertical="center"/>
    </xf>
    <xf numFmtId="0" fontId="25" fillId="5" borderId="28" xfId="0" applyFont="1" applyFill="1" applyBorder="1" applyAlignment="1">
      <alignment horizontal="center" vertical="center" wrapText="1"/>
    </xf>
    <xf numFmtId="0" fontId="27" fillId="0" borderId="27" xfId="0" applyFont="1" applyBorder="1" applyAlignment="1">
      <alignment vertical="center"/>
    </xf>
    <xf numFmtId="0" fontId="27" fillId="0" borderId="27" xfId="0" applyFont="1" applyBorder="1" applyAlignment="1" applyProtection="1">
      <alignment vertical="center"/>
      <protection locked="0"/>
    </xf>
    <xf numFmtId="0" fontId="24" fillId="0" borderId="40" xfId="0" applyFont="1" applyBorder="1" applyAlignment="1">
      <alignment horizontal="center" vertical="center"/>
    </xf>
    <xf numFmtId="0" fontId="24" fillId="0" borderId="32" xfId="0" applyFont="1" applyBorder="1" applyAlignment="1">
      <alignment horizontal="right" vertical="center"/>
    </xf>
    <xf numFmtId="0" fontId="28" fillId="6" borderId="31" xfId="0" applyFont="1" applyFill="1" applyBorder="1" applyAlignment="1" applyProtection="1">
      <alignment horizontal="right" vertical="center"/>
      <protection locked="0"/>
    </xf>
    <xf numFmtId="0" fontId="24" fillId="0" borderId="32" xfId="0" applyFont="1" applyBorder="1" applyAlignment="1">
      <alignment vertical="center" wrapText="1"/>
    </xf>
    <xf numFmtId="0" fontId="24" fillId="0" borderId="32" xfId="0" applyFont="1" applyBorder="1" applyAlignment="1" applyProtection="1">
      <alignment vertical="center"/>
      <protection locked="0"/>
    </xf>
    <xf numFmtId="0" fontId="24" fillId="0" borderId="32" xfId="0" applyFont="1" applyBorder="1" applyAlignment="1">
      <alignment vertical="center"/>
    </xf>
    <xf numFmtId="0" fontId="24" fillId="0" borderId="35" xfId="0" applyFont="1" applyBorder="1" applyAlignment="1">
      <alignment horizontal="right" vertical="center"/>
    </xf>
    <xf numFmtId="0" fontId="28" fillId="6" borderId="36" xfId="0" applyFont="1" applyFill="1" applyBorder="1" applyAlignment="1" applyProtection="1">
      <alignment horizontal="right" vertical="center"/>
      <protection locked="0"/>
    </xf>
    <xf numFmtId="0" fontId="24" fillId="0" borderId="35" xfId="0" applyFont="1" applyBorder="1" applyAlignment="1" applyProtection="1">
      <alignment vertical="center"/>
      <protection locked="0"/>
    </xf>
    <xf numFmtId="0" fontId="24" fillId="0" borderId="35" xfId="0" applyFont="1" applyBorder="1" applyAlignment="1">
      <alignment vertical="center"/>
    </xf>
    <xf numFmtId="0" fontId="24" fillId="0" borderId="41" xfId="0" applyFont="1" applyBorder="1" applyAlignment="1">
      <alignment horizontal="right" vertical="center"/>
    </xf>
    <xf numFmtId="0" fontId="25" fillId="5" borderId="42" xfId="0" applyFont="1" applyFill="1" applyBorder="1" applyAlignment="1">
      <alignment horizontal="center" vertical="center" wrapText="1"/>
    </xf>
    <xf numFmtId="0" fontId="27" fillId="0" borderId="41" xfId="0" applyFont="1" applyBorder="1" applyAlignment="1">
      <alignment vertical="center"/>
    </xf>
    <xf numFmtId="0" fontId="27" fillId="0" borderId="41" xfId="0" applyFont="1" applyBorder="1" applyAlignment="1" applyProtection="1">
      <alignment vertical="center"/>
      <protection locked="0"/>
    </xf>
    <xf numFmtId="0" fontId="24" fillId="0" borderId="41" xfId="0" applyFont="1" applyBorder="1" applyAlignment="1">
      <alignment vertical="center"/>
    </xf>
    <xf numFmtId="0" fontId="24" fillId="0" borderId="41" xfId="0" applyFont="1" applyBorder="1" applyAlignment="1" applyProtection="1">
      <alignment vertical="center"/>
      <protection locked="0"/>
    </xf>
    <xf numFmtId="0" fontId="24" fillId="0" borderId="43" xfId="0" applyFont="1" applyBorder="1" applyAlignment="1">
      <alignment horizontal="right" vertical="center"/>
    </xf>
    <xf numFmtId="0" fontId="28" fillId="6" borderId="24" xfId="0" applyFont="1" applyFill="1" applyBorder="1" applyAlignment="1" applyProtection="1">
      <alignment horizontal="right" vertical="center"/>
      <protection locked="0"/>
    </xf>
    <xf numFmtId="0" fontId="24" fillId="0" borderId="43" xfId="0" applyFont="1" applyBorder="1" applyAlignment="1">
      <alignment vertical="center" wrapText="1"/>
    </xf>
    <xf numFmtId="0" fontId="24" fillId="0" borderId="43" xfId="0" applyFont="1" applyBorder="1" applyAlignment="1" applyProtection="1">
      <alignment vertical="center"/>
      <protection locked="0"/>
    </xf>
    <xf numFmtId="0" fontId="24" fillId="0" borderId="35" xfId="0" applyFont="1" applyBorder="1" applyAlignment="1">
      <alignment vertical="center" wrapText="1"/>
    </xf>
    <xf numFmtId="0" fontId="30" fillId="7" borderId="0" xfId="0" applyFont="1" applyFill="1" applyAlignment="1">
      <alignment horizontal="left" vertical="center"/>
    </xf>
    <xf numFmtId="0" fontId="9" fillId="3" borderId="18" xfId="0" applyFont="1" applyFill="1" applyBorder="1" applyAlignment="1">
      <alignment horizontal="left" vertical="center" wrapText="1"/>
    </xf>
    <xf numFmtId="0" fontId="30" fillId="3" borderId="17" xfId="0" applyFont="1" applyFill="1" applyBorder="1" applyAlignment="1" applyProtection="1">
      <alignment horizontal="center" vertical="center"/>
      <protection locked="0"/>
    </xf>
    <xf numFmtId="0" fontId="27" fillId="0" borderId="1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0" borderId="43" xfId="0" applyFont="1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0" fontId="24" fillId="0" borderId="47" xfId="0" applyFont="1" applyBorder="1" applyAlignment="1">
      <alignment horizontal="right" vertical="center"/>
    </xf>
    <xf numFmtId="0" fontId="27" fillId="0" borderId="48" xfId="0" applyFont="1" applyBorder="1" applyAlignment="1" applyProtection="1">
      <alignment vertical="center"/>
      <protection locked="0"/>
    </xf>
    <xf numFmtId="0" fontId="27" fillId="0" borderId="48" xfId="0" applyFont="1" applyBorder="1" applyAlignment="1">
      <alignment vertical="center"/>
    </xf>
    <xf numFmtId="0" fontId="24" fillId="0" borderId="49" xfId="0" applyFont="1" applyBorder="1" applyAlignment="1">
      <alignment horizontal="right" vertical="center"/>
    </xf>
    <xf numFmtId="0" fontId="27" fillId="0" borderId="32" xfId="0" applyFont="1" applyBorder="1" applyAlignment="1">
      <alignment vertical="center"/>
    </xf>
    <xf numFmtId="0" fontId="27" fillId="0" borderId="30" xfId="0" applyFont="1" applyBorder="1" applyAlignment="1" applyProtection="1">
      <alignment vertical="center"/>
      <protection locked="0"/>
    </xf>
    <xf numFmtId="0" fontId="27" fillId="0" borderId="30" xfId="0" applyFont="1" applyBorder="1" applyAlignment="1">
      <alignment vertical="center"/>
    </xf>
    <xf numFmtId="0" fontId="27" fillId="0" borderId="50" xfId="0" applyFont="1" applyBorder="1" applyAlignment="1">
      <alignment horizontal="right" vertical="center"/>
    </xf>
    <xf numFmtId="0" fontId="27" fillId="0" borderId="35" xfId="0" applyFont="1" applyBorder="1" applyAlignment="1">
      <alignment vertical="center"/>
    </xf>
    <xf numFmtId="0" fontId="27" fillId="0" borderId="51" xfId="0" applyFont="1" applyBorder="1" applyAlignment="1" applyProtection="1">
      <alignment vertical="center"/>
      <protection locked="0"/>
    </xf>
    <xf numFmtId="0" fontId="27" fillId="0" borderId="51" xfId="0" applyFont="1" applyBorder="1" applyAlignment="1">
      <alignment vertical="center"/>
    </xf>
    <xf numFmtId="0" fontId="10" fillId="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7" fillId="0" borderId="0" xfId="0" applyFont="1"/>
    <xf numFmtId="0" fontId="31" fillId="0" borderId="0" xfId="0" applyFont="1"/>
    <xf numFmtId="0" fontId="9" fillId="3" borderId="15" xfId="0" applyFont="1" applyFill="1" applyBorder="1" applyAlignment="1">
      <alignment vertical="center"/>
    </xf>
    <xf numFmtId="0" fontId="9" fillId="3" borderId="15" xfId="0" applyFont="1" applyFill="1" applyBorder="1" applyAlignment="1">
      <alignment horizontal="left" vertical="center"/>
    </xf>
    <xf numFmtId="0" fontId="27" fillId="0" borderId="15" xfId="0" applyFont="1" applyBorder="1" applyAlignment="1">
      <alignment vertical="center"/>
    </xf>
    <xf numFmtId="0" fontId="27" fillId="0" borderId="15" xfId="0" applyFont="1" applyBorder="1" applyAlignment="1">
      <alignment horizontal="left" vertical="center"/>
    </xf>
    <xf numFmtId="0" fontId="27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9" fillId="3" borderId="44" xfId="0" applyFont="1" applyFill="1" applyBorder="1" applyAlignment="1" applyProtection="1">
      <alignment horizontal="left" vertical="center" wrapText="1"/>
      <protection locked="0"/>
    </xf>
    <xf numFmtId="0" fontId="9" fillId="3" borderId="52" xfId="0" applyFont="1" applyFill="1" applyBorder="1" applyAlignment="1" applyProtection="1">
      <alignment horizontal="left" vertical="center" wrapText="1"/>
      <protection locked="0"/>
    </xf>
    <xf numFmtId="0" fontId="9" fillId="3" borderId="41" xfId="0" applyFont="1" applyFill="1" applyBorder="1" applyAlignment="1" applyProtection="1">
      <alignment horizontal="left" vertical="center" wrapText="1"/>
      <protection locked="0"/>
    </xf>
    <xf numFmtId="0" fontId="27" fillId="0" borderId="33" xfId="0" applyFont="1" applyBorder="1" applyAlignment="1">
      <alignment vertical="center"/>
    </xf>
    <xf numFmtId="0" fontId="27" fillId="0" borderId="34" xfId="0" applyFont="1" applyBorder="1" applyAlignment="1">
      <alignment vertical="center" wrapText="1"/>
    </xf>
    <xf numFmtId="178" fontId="27" fillId="0" borderId="35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ont>
        <i val="1"/>
        <color rgb="FF808080"/>
      </font>
    </dxf>
    <dxf>
      <font>
        <i val="1"/>
        <color rgb="FFD9D9D9"/>
      </font>
    </dxf>
    <dxf>
      <font>
        <color rgb="FFD9D9D9"/>
      </font>
    </dxf>
    <dxf>
      <font>
        <color rgb="FFD9D9D9"/>
      </font>
      <fill>
        <patternFill patternType="solid">
          <bgColor theme="0"/>
        </patternFill>
      </fill>
    </dxf>
    <dxf>
      <font>
        <color theme="0" tint="-0.35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EFE6E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EECE1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FE6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42545</xdr:colOff>
      <xdr:row>10</xdr:row>
      <xdr:rowOff>12700</xdr:rowOff>
    </xdr:from>
    <xdr:to>
      <xdr:col>3</xdr:col>
      <xdr:colOff>4158615</xdr:colOff>
      <xdr:row>13</xdr:row>
      <xdr:rowOff>29210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545" y="1927225"/>
          <a:ext cx="13522960" cy="502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73</xdr:row>
      <xdr:rowOff>0</xdr:rowOff>
    </xdr:from>
    <xdr:to>
      <xdr:col>2</xdr:col>
      <xdr:colOff>1046480</xdr:colOff>
      <xdr:row>78</xdr:row>
      <xdr:rowOff>109855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6389350"/>
          <a:ext cx="7675880" cy="91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80</xdr:row>
      <xdr:rowOff>70485</xdr:rowOff>
    </xdr:from>
    <xdr:to>
      <xdr:col>2</xdr:col>
      <xdr:colOff>1014095</xdr:colOff>
      <xdr:row>86</xdr:row>
      <xdr:rowOff>33655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7593310"/>
          <a:ext cx="7643495" cy="93472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375920</xdr:colOff>
          <xdr:row>1</xdr:row>
          <xdr:rowOff>12700</xdr:rowOff>
        </xdr:from>
        <xdr:to>
          <xdr:col>1</xdr:col>
          <xdr:colOff>2595880</xdr:colOff>
          <xdr:row>14</xdr:row>
          <xdr:rowOff>102235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75920" y="174625"/>
              <a:ext cx="5297170" cy="21945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7"/>
  <sheetViews>
    <sheetView showGridLines="0" workbookViewId="0">
      <selection activeCell="B4" sqref="B4"/>
    </sheetView>
  </sheetViews>
  <sheetFormatPr defaultColWidth="9" defaultRowHeight="12.75" outlineLevelRow="6" outlineLevelCol="2"/>
  <cols>
    <col min="1" max="1" width="13.625" style="97" customWidth="1"/>
    <col min="2" max="2" width="77.125" style="97" customWidth="1"/>
    <col min="3" max="3" width="10.625" style="97" customWidth="1"/>
    <col min="4" max="16384" width="9" style="97"/>
  </cols>
  <sheetData>
    <row r="4" spans="1:3">
      <c r="A4" s="201" t="s">
        <v>0</v>
      </c>
    </row>
    <row r="5" ht="13.5" customHeight="1"/>
    <row r="6" spans="1:3">
      <c r="A6" s="202" t="s">
        <v>1</v>
      </c>
      <c r="B6" s="203" t="s">
        <v>2</v>
      </c>
      <c r="C6" s="204" t="s">
        <v>3</v>
      </c>
    </row>
    <row r="7" ht="13.5" customHeight="1" spans="1:3">
      <c r="A7" s="205"/>
      <c r="B7" s="206"/>
      <c r="C7" s="207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25" sqref="A25"/>
    </sheetView>
  </sheetViews>
  <sheetFormatPr defaultColWidth="8.625" defaultRowHeight="12.75"/>
  <cols>
    <col min="1" max="1" width="102" style="97" customWidth="1"/>
    <col min="2" max="16384" width="8.625" style="97"/>
  </cols>
  <sheetData>
    <row r="1" spans="1:1">
      <c r="A1" s="97" t="s">
        <v>4</v>
      </c>
    </row>
    <row r="3" spans="1:1">
      <c r="A3" s="97" t="s">
        <v>5</v>
      </c>
    </row>
    <row r="6" spans="1:1">
      <c r="A6" s="97" t="s">
        <v>6</v>
      </c>
    </row>
    <row r="8" spans="1:1">
      <c r="A8" s="97" t="s">
        <v>7</v>
      </c>
    </row>
    <row r="11" spans="1:1">
      <c r="A11" s="97" t="s">
        <v>8</v>
      </c>
    </row>
    <row r="14" ht="25.5" customHeight="1" spans="1:1">
      <c r="A14" s="200" t="s">
        <v>9</v>
      </c>
    </row>
    <row r="16" spans="1:1">
      <c r="A16" s="97" t="s">
        <v>10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J17" sqref="J17"/>
    </sheetView>
  </sheetViews>
  <sheetFormatPr defaultColWidth="9" defaultRowHeight="12.75" outlineLevelCol="2"/>
  <cols>
    <col min="1" max="1" width="35.875" style="192" customWidth="1"/>
    <col min="2" max="3" width="20.75" style="193" customWidth="1"/>
    <col min="4" max="16384" width="9" style="36"/>
  </cols>
  <sheetData>
    <row r="1" spans="1:3">
      <c r="A1" s="194" t="s">
        <v>11</v>
      </c>
      <c r="B1" s="194"/>
      <c r="C1" s="194"/>
    </row>
    <row r="2" spans="1:3">
      <c r="A2" s="195"/>
      <c r="B2" s="194"/>
      <c r="C2" s="194"/>
    </row>
    <row r="3" spans="1:3">
      <c r="A3" s="196" t="s">
        <v>12</v>
      </c>
      <c r="B3" s="197" t="s">
        <v>13</v>
      </c>
      <c r="C3" s="197" t="s">
        <v>14</v>
      </c>
    </row>
    <row r="4" spans="1:3">
      <c r="A4" s="198" t="s">
        <v>15</v>
      </c>
      <c r="B4" s="199"/>
      <c r="C4" s="199" t="s">
        <v>16</v>
      </c>
    </row>
    <row r="5" spans="1:3">
      <c r="A5" s="198" t="s">
        <v>17</v>
      </c>
      <c r="B5" s="199"/>
      <c r="C5" s="199" t="s">
        <v>18</v>
      </c>
    </row>
    <row r="6" spans="1:3">
      <c r="A6" s="198" t="s">
        <v>19</v>
      </c>
      <c r="B6" s="199"/>
      <c r="C6" s="199" t="s">
        <v>20</v>
      </c>
    </row>
    <row r="7" spans="1:3">
      <c r="A7" s="198" t="s">
        <v>21</v>
      </c>
      <c r="B7" s="199"/>
      <c r="C7" s="199" t="s">
        <v>22</v>
      </c>
    </row>
    <row r="8" spans="1:3">
      <c r="A8" s="198" t="s">
        <v>23</v>
      </c>
      <c r="B8" s="199"/>
      <c r="C8" s="199" t="s">
        <v>24</v>
      </c>
    </row>
    <row r="9" spans="1:3">
      <c r="A9" s="198" t="s">
        <v>25</v>
      </c>
      <c r="B9" s="199"/>
      <c r="C9" s="199" t="s">
        <v>26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"/>
  <sheetViews>
    <sheetView showGridLines="0" topLeftCell="A68" workbookViewId="0">
      <selection activeCell="H8" sqref="H8"/>
    </sheetView>
  </sheetViews>
  <sheetFormatPr defaultColWidth="20" defaultRowHeight="12.75"/>
  <cols>
    <col min="1" max="1" width="23.125" style="97" customWidth="1"/>
    <col min="2" max="2" width="25.25" style="97" customWidth="1"/>
    <col min="3" max="3" width="29.5" style="97" customWidth="1"/>
    <col min="4" max="4" width="35.5" style="98" customWidth="1"/>
    <col min="5" max="5" width="29.25" style="99" customWidth="1"/>
    <col min="6" max="6" width="27.625" style="100" customWidth="1"/>
    <col min="7" max="7" width="27.625" style="97" customWidth="1"/>
    <col min="8" max="8" width="31.5" style="100" customWidth="1"/>
    <col min="9" max="16384" width="20" style="100"/>
  </cols>
  <sheetData>
    <row r="1" ht="15" customHeight="1" spans="1:11">
      <c r="A1" s="101" t="s">
        <v>27</v>
      </c>
      <c r="B1" s="102"/>
      <c r="C1" s="102"/>
      <c r="D1" s="102"/>
      <c r="E1" s="102"/>
      <c r="F1" s="102"/>
      <c r="G1" s="102"/>
    </row>
    <row r="2" ht="25.5" customHeight="1" spans="1:11">
      <c r="A2" s="103" t="s">
        <v>28</v>
      </c>
      <c r="B2" s="47" t="s">
        <v>29</v>
      </c>
      <c r="C2" s="47"/>
      <c r="D2" s="104" t="s">
        <v>30</v>
      </c>
      <c r="E2" s="105" t="s">
        <v>31</v>
      </c>
      <c r="F2" s="106" t="s">
        <v>32</v>
      </c>
      <c r="G2" s="105" t="s">
        <v>33</v>
      </c>
    </row>
    <row r="3" ht="38.25" customHeight="1" spans="1:11">
      <c r="A3" s="107" t="s">
        <v>34</v>
      </c>
      <c r="B3" s="108" t="s">
        <v>35</v>
      </c>
      <c r="C3" s="109"/>
      <c r="D3" s="110">
        <v>1</v>
      </c>
      <c r="E3" s="111" t="str">
        <f>IF(D3=1,"4K60 FPS
Core clock  600MHz 
Pixel clock 150MHz(when 4ppc port)","4K120 FPS
Core clock  600MHz 
Pixel clock 300MHz(when 4ppc port)")</f>
        <v>4K60 FPS
Core clock  600MHz 
Pixel clock 150MHz(when 4ppc port)</v>
      </c>
      <c r="F3" s="112"/>
      <c r="G3" s="113"/>
      <c r="H3" s="114"/>
      <c r="K3" s="114"/>
    </row>
    <row r="4" ht="38.25" customHeight="1" spans="1:11">
      <c r="A4" s="115" t="s">
        <v>36</v>
      </c>
      <c r="B4" s="116" t="s">
        <v>37</v>
      </c>
      <c r="C4" s="117"/>
      <c r="D4" s="118">
        <v>2</v>
      </c>
      <c r="E4" s="119"/>
      <c r="F4" s="120"/>
      <c r="G4" s="121" t="s">
        <v>38</v>
      </c>
      <c r="H4" s="114"/>
    </row>
    <row r="5" ht="63.75" customHeight="1" spans="1:11">
      <c r="A5" s="115"/>
      <c r="B5" s="122" t="s">
        <v>39</v>
      </c>
      <c r="C5" s="123"/>
      <c r="D5" s="118">
        <v>0</v>
      </c>
      <c r="E5" s="119"/>
      <c r="F5" s="120"/>
      <c r="G5" s="121" t="s">
        <v>40</v>
      </c>
    </row>
    <row r="6" ht="89.25" customHeight="1" spans="1:11">
      <c r="A6" s="115"/>
      <c r="B6" s="122" t="s">
        <v>41</v>
      </c>
      <c r="C6" s="123"/>
      <c r="D6" s="118">
        <v>2</v>
      </c>
      <c r="E6" s="119"/>
      <c r="F6" s="120"/>
      <c r="G6" s="121" t="s">
        <v>42</v>
      </c>
    </row>
    <row r="7" ht="15" customHeight="1" spans="1:11">
      <c r="A7" s="115"/>
      <c r="B7" s="122" t="s">
        <v>43</v>
      </c>
      <c r="C7" s="123"/>
      <c r="D7" s="118">
        <v>2</v>
      </c>
      <c r="E7" s="119"/>
      <c r="F7" s="120"/>
      <c r="G7" s="124" t="s">
        <v>44</v>
      </c>
    </row>
    <row r="8" ht="15" customHeight="1" spans="1:11">
      <c r="A8" s="115" t="s">
        <v>45</v>
      </c>
      <c r="B8" s="122" t="s">
        <v>46</v>
      </c>
      <c r="C8" s="123"/>
      <c r="D8" s="118">
        <v>2</v>
      </c>
      <c r="E8" s="119"/>
      <c r="F8" s="120"/>
      <c r="G8" s="124"/>
    </row>
    <row r="9" customHeight="1" spans="1:11">
      <c r="A9" s="125" t="s">
        <v>47</v>
      </c>
      <c r="B9" s="126" t="s">
        <v>48</v>
      </c>
      <c r="C9" s="127"/>
      <c r="D9" s="128" t="s">
        <v>49</v>
      </c>
      <c r="E9" s="119"/>
      <c r="F9" s="129"/>
      <c r="G9" s="130"/>
    </row>
    <row r="10" ht="13.5" spans="1:11">
      <c r="A10" s="131"/>
      <c r="B10" s="132" t="s">
        <v>50</v>
      </c>
      <c r="C10" s="133"/>
      <c r="D10" s="134" t="s">
        <v>51</v>
      </c>
      <c r="E10" s="135"/>
      <c r="F10" s="136"/>
      <c r="G10" s="137"/>
    </row>
    <row r="12" spans="1:11">
      <c r="A12" s="138" t="s">
        <v>52</v>
      </c>
      <c r="B12" s="139"/>
      <c r="C12" s="139"/>
      <c r="D12" s="139"/>
      <c r="E12" s="139"/>
      <c r="F12" s="139"/>
      <c r="G12" s="139"/>
    </row>
    <row r="13" ht="13.5" customHeight="1" spans="1:11">
      <c r="A13" s="140" t="s">
        <v>28</v>
      </c>
      <c r="B13" s="141" t="s">
        <v>53</v>
      </c>
      <c r="C13" s="142" t="s">
        <v>54</v>
      </c>
      <c r="D13" s="104" t="s">
        <v>30</v>
      </c>
      <c r="E13" s="105" t="s">
        <v>31</v>
      </c>
      <c r="F13" s="143" t="s">
        <v>32</v>
      </c>
      <c r="G13" s="105" t="s">
        <v>33</v>
      </c>
    </row>
    <row r="14" ht="13.5" customHeight="1" spans="1:11">
      <c r="A14" s="144" t="s">
        <v>36</v>
      </c>
      <c r="B14" s="145" t="s">
        <v>55</v>
      </c>
      <c r="C14" s="146" t="s">
        <v>56</v>
      </c>
      <c r="D14" s="147" t="str">
        <f>IF(0&lt;$D$4,"Video",IF(0&lt;$D$4+$D$5,"Graphic",IF(0&lt;$D$4+$D$5+$D$6,"Simple","Not Used")))</f>
        <v>Video</v>
      </c>
      <c r="E14" s="148"/>
      <c r="F14" s="149"/>
      <c r="G14" s="148"/>
    </row>
    <row r="15" ht="13.5" customHeight="1" spans="1:11">
      <c r="A15" s="144"/>
      <c r="B15" s="150"/>
      <c r="C15" s="151" t="s">
        <v>57</v>
      </c>
      <c r="D15" s="152" t="s">
        <v>58</v>
      </c>
      <c r="E15" s="153" t="str">
        <f>IF(D15="Not Support","","357.3K gates  +  5.25KB RAM")</f>
        <v>357.3K gates  +  5.25KB RAM</v>
      </c>
      <c r="F15" s="154"/>
      <c r="G15" s="155"/>
    </row>
    <row r="16" ht="13.5" customHeight="1" spans="1:11">
      <c r="A16" s="144"/>
      <c r="B16" s="150"/>
      <c r="C16" s="151" t="s">
        <v>59</v>
      </c>
      <c r="D16" s="152" t="s">
        <v>60</v>
      </c>
      <c r="E16" s="153" t="str">
        <f>IF(D16="Not Support","",IF($D$3=2,"567.7K gates","361.9K gates"))</f>
        <v/>
      </c>
      <c r="F16" s="154"/>
      <c r="G16" s="155"/>
    </row>
    <row r="17" ht="13.5" customHeight="1" spans="1:7">
      <c r="A17" s="144"/>
      <c r="B17" s="150"/>
      <c r="C17" s="156" t="s">
        <v>61</v>
      </c>
      <c r="D17" s="157" t="s">
        <v>60</v>
      </c>
      <c r="E17" s="153" t="str">
        <f>IF(D17="Not Support","",IF($D$3=2,"348.1K gates  +  120KB RAM","207.9K gates  +  96.56KB RAM"))</f>
        <v/>
      </c>
      <c r="F17" s="158"/>
      <c r="G17" s="159" t="s">
        <v>62</v>
      </c>
    </row>
    <row r="18" ht="13.5" customHeight="1" spans="1:7">
      <c r="A18" s="144"/>
      <c r="B18" s="150" t="s">
        <v>63</v>
      </c>
      <c r="C18" s="160" t="s">
        <v>56</v>
      </c>
      <c r="D18" s="161" t="str">
        <f>IF(1&lt;$D$4,"Video",IF(1&lt;$D$4+$D$5,"Graphic",IF(1&lt;$D$4+$D$5+$D$6,"Simple","Not Used")))</f>
        <v>Video</v>
      </c>
      <c r="E18" s="162"/>
      <c r="F18" s="163"/>
      <c r="G18" s="162"/>
    </row>
    <row r="19" ht="13.5" customHeight="1" spans="1:7">
      <c r="A19" s="144"/>
      <c r="B19" s="150"/>
      <c r="C19" s="151" t="s">
        <v>57</v>
      </c>
      <c r="D19" s="152" t="s">
        <v>58</v>
      </c>
      <c r="E19" s="153" t="str">
        <f>IF(D19="Not Support","","357.3K gates  +  5.25KB RAM")</f>
        <v>357.3K gates  +  5.25KB RAM</v>
      </c>
      <c r="F19" s="154"/>
      <c r="G19" s="155"/>
    </row>
    <row r="20" ht="14.25" customHeight="1" spans="1:7">
      <c r="A20" s="144"/>
      <c r="B20" s="150"/>
      <c r="C20" s="151" t="s">
        <v>59</v>
      </c>
      <c r="D20" s="152" t="s">
        <v>60</v>
      </c>
      <c r="E20" s="153" t="str">
        <f>IF(D20="Not Support","",IF($D$3=2,"567.7K gates","361.9K gates"))</f>
        <v/>
      </c>
      <c r="F20" s="154"/>
      <c r="G20" s="155"/>
    </row>
    <row r="21" ht="14.25" customHeight="1" spans="1:7">
      <c r="A21" s="144"/>
      <c r="B21" s="150"/>
      <c r="C21" s="156" t="s">
        <v>61</v>
      </c>
      <c r="D21" s="157" t="s">
        <v>60</v>
      </c>
      <c r="E21" s="153" t="str">
        <f>IF(D21="Not Support","",IF($D$3=2,"348.1K gates  +  120KB RAM","207.9K gates  +  96.56KB RAM"))</f>
        <v/>
      </c>
      <c r="F21" s="158"/>
      <c r="G21" s="159" t="s">
        <v>62</v>
      </c>
    </row>
    <row r="22" ht="13.5" customHeight="1" spans="1:7">
      <c r="A22" s="144"/>
      <c r="B22" s="150" t="s">
        <v>64</v>
      </c>
      <c r="C22" s="160" t="s">
        <v>56</v>
      </c>
      <c r="D22" s="161" t="str">
        <f>IF(2&lt;$D$4,"Video",IF(2&lt;$D$4+$D$5,"Graphic",IF(2&lt;$D$4+$D$5+$D$6,"Simple","Not Used")))</f>
        <v>Simple</v>
      </c>
      <c r="E22" s="162"/>
      <c r="F22" s="163"/>
      <c r="G22" s="162"/>
    </row>
    <row r="23" ht="13.5" customHeight="1" spans="1:7">
      <c r="A23" s="144"/>
      <c r="B23" s="150"/>
      <c r="C23" s="151" t="s">
        <v>57</v>
      </c>
      <c r="D23" s="152" t="s">
        <v>60</v>
      </c>
      <c r="E23" s="153" t="str">
        <f>IF(D23="Not Support","","357.3K gates  +  5.25KB RAM")</f>
        <v/>
      </c>
      <c r="F23" s="154"/>
      <c r="G23" s="155"/>
    </row>
    <row r="24" ht="13.5" customHeight="1" spans="1:7">
      <c r="A24" s="144"/>
      <c r="B24" s="150"/>
      <c r="C24" s="151" t="s">
        <v>59</v>
      </c>
      <c r="D24" s="152" t="s">
        <v>60</v>
      </c>
      <c r="E24" s="153" t="str">
        <f>IF(D24="Not Support","",IF($D$3=2,"567.7K gates","361.9K gates"))</f>
        <v/>
      </c>
      <c r="F24" s="154"/>
      <c r="G24" s="155"/>
    </row>
    <row r="25" ht="13.5" customHeight="1" spans="1:7">
      <c r="A25" s="144"/>
      <c r="B25" s="150"/>
      <c r="C25" s="156" t="s">
        <v>61</v>
      </c>
      <c r="D25" s="157" t="s">
        <v>60</v>
      </c>
      <c r="E25" s="153" t="str">
        <f>IF(D25="Not Support","",IF($D$3=2,"348.1K gates  +  120KB RAM","207.9K gates  +  96.56KB RAM"))</f>
        <v/>
      </c>
      <c r="F25" s="158"/>
      <c r="G25" s="159" t="s">
        <v>62</v>
      </c>
    </row>
    <row r="26" ht="13.5" customHeight="1" spans="1:7">
      <c r="A26" s="144"/>
      <c r="B26" s="150" t="s">
        <v>65</v>
      </c>
      <c r="C26" s="160" t="s">
        <v>56</v>
      </c>
      <c r="D26" s="161" t="str">
        <f>IF(3&lt;$D$4,"Video",IF(3&lt;$D$4+$D$5,"Graphic",IF(3&lt;$D$4+$D$5+$D$6,"Simple","Not Used")))</f>
        <v>Simple</v>
      </c>
      <c r="E26" s="162"/>
      <c r="F26" s="163"/>
      <c r="G26" s="162"/>
    </row>
    <row r="27" ht="13.5" customHeight="1" spans="1:7">
      <c r="A27" s="144"/>
      <c r="B27" s="150"/>
      <c r="C27" s="151" t="s">
        <v>57</v>
      </c>
      <c r="D27" s="152" t="s">
        <v>60</v>
      </c>
      <c r="E27" s="153" t="str">
        <f>IF(D27="Not Support","","357.3K gates  +  5.25KB RAM")</f>
        <v/>
      </c>
      <c r="F27" s="154"/>
      <c r="G27" s="155"/>
    </row>
    <row r="28" ht="14.25" customHeight="1" spans="1:7">
      <c r="A28" s="144"/>
      <c r="B28" s="150"/>
      <c r="C28" s="151" t="s">
        <v>59</v>
      </c>
      <c r="D28" s="152" t="s">
        <v>60</v>
      </c>
      <c r="E28" s="153" t="str">
        <f>IF(D28="Not Support","",IF($D$3=2,"567.7K gates","361.9K gates"))</f>
        <v/>
      </c>
      <c r="F28" s="154"/>
      <c r="G28" s="155"/>
    </row>
    <row r="29" ht="14.25" customHeight="1" spans="1:7">
      <c r="A29" s="144"/>
      <c r="B29" s="150"/>
      <c r="C29" s="156" t="s">
        <v>61</v>
      </c>
      <c r="D29" s="157" t="s">
        <v>60</v>
      </c>
      <c r="E29" s="153" t="str">
        <f>IF(D29="Not Support","",IF($D$3=2,"348.1K gates  +  120KB RAM","207.9K gates  +  96.56KB RAM"))</f>
        <v/>
      </c>
      <c r="F29" s="158"/>
      <c r="G29" s="159" t="s">
        <v>62</v>
      </c>
    </row>
    <row r="30" ht="14.25" customHeight="1" spans="1:7">
      <c r="A30" s="144"/>
      <c r="B30" s="150" t="s">
        <v>66</v>
      </c>
      <c r="C30" s="160" t="s">
        <v>56</v>
      </c>
      <c r="D30" s="161" t="str">
        <f>IF(4&lt;$D$4,"Video",IF(4&lt;$D$4+$D$5,"Graphic",IF(4&lt;$D$4+$D$5+$D$6,"Simple","Not Used")))</f>
        <v>Not Used</v>
      </c>
      <c r="E30" s="162"/>
      <c r="F30" s="163"/>
      <c r="G30" s="162"/>
    </row>
    <row r="31" ht="14.25" customHeight="1" spans="1:7">
      <c r="A31" s="144"/>
      <c r="B31" s="150"/>
      <c r="C31" s="151" t="s">
        <v>57</v>
      </c>
      <c r="D31" s="152" t="s">
        <v>60</v>
      </c>
      <c r="E31" s="153" t="str">
        <f>IF(D31="Not Support","","357.3K gates  +  5.25KB RAM")</f>
        <v/>
      </c>
      <c r="F31" s="154"/>
      <c r="G31" s="155"/>
    </row>
    <row r="32" ht="14.25" customHeight="1" spans="1:7">
      <c r="A32" s="144"/>
      <c r="B32" s="150"/>
      <c r="C32" s="151" t="s">
        <v>59</v>
      </c>
      <c r="D32" s="157" t="s">
        <v>60</v>
      </c>
      <c r="E32" s="153" t="str">
        <f>IF(D32="Not Support","",IF($D$3=2,"567.7K gates","361.9K gates"))</f>
        <v/>
      </c>
      <c r="F32" s="154"/>
      <c r="G32" s="155"/>
    </row>
    <row r="33" ht="14.25" customHeight="1" spans="1:7">
      <c r="A33" s="144"/>
      <c r="B33" s="150"/>
      <c r="C33" s="156" t="s">
        <v>61</v>
      </c>
      <c r="D33" s="157" t="s">
        <v>60</v>
      </c>
      <c r="E33" s="153" t="str">
        <f>IF(D33="Not Support","",IF($D$3=2,"348.1K gates  +  120KB RAM","207.9K gates  +  96.56KB RAM"))</f>
        <v/>
      </c>
      <c r="F33" s="158"/>
      <c r="G33" s="159" t="s">
        <v>62</v>
      </c>
    </row>
    <row r="34" ht="14.25" customHeight="1" spans="1:7">
      <c r="A34" s="144"/>
      <c r="B34" s="150" t="s">
        <v>67</v>
      </c>
      <c r="C34" s="160" t="s">
        <v>56</v>
      </c>
      <c r="D34" s="161" t="str">
        <f>IF(5&lt;$D$4,"Video",IF(5&lt;$D$4+$D$5,"Graphic",IF(5&lt;$D$4+$D$5+$D$6,"Simple","Not Used")))</f>
        <v>Not Used</v>
      </c>
      <c r="E34" s="162"/>
      <c r="F34" s="163"/>
      <c r="G34" s="162"/>
    </row>
    <row r="35" ht="14.25" customHeight="1" spans="1:7">
      <c r="A35" s="144"/>
      <c r="B35" s="150"/>
      <c r="C35" s="151" t="s">
        <v>57</v>
      </c>
      <c r="D35" s="152" t="s">
        <v>60</v>
      </c>
      <c r="E35" s="153" t="str">
        <f>IF(D35="Not Support","","357.3K gates  +  5.25KB RAM")</f>
        <v/>
      </c>
      <c r="F35" s="154"/>
      <c r="G35" s="155"/>
    </row>
    <row r="36" ht="14.25" customHeight="1" spans="1:7">
      <c r="A36" s="144"/>
      <c r="B36" s="150"/>
      <c r="C36" s="151" t="s">
        <v>59</v>
      </c>
      <c r="D36" s="157" t="s">
        <v>60</v>
      </c>
      <c r="E36" s="153" t="str">
        <f>IF(D36="Not Support","",IF($D$3=2,"567.7K gates","361.9K gates"))</f>
        <v/>
      </c>
      <c r="F36" s="154"/>
      <c r="G36" s="155"/>
    </row>
    <row r="37" ht="14.25" customHeight="1" spans="1:7">
      <c r="A37" s="144"/>
      <c r="B37" s="150"/>
      <c r="C37" s="156" t="s">
        <v>61</v>
      </c>
      <c r="D37" s="157" t="s">
        <v>60</v>
      </c>
      <c r="E37" s="153" t="str">
        <f>IF(D37="Not Support","",IF($D$3=2,"348.1K gates  +  120KB RAM","207.9K gates  +  96.56KB RAM"))</f>
        <v/>
      </c>
      <c r="F37" s="158"/>
      <c r="G37" s="159" t="s">
        <v>62</v>
      </c>
    </row>
    <row r="38" ht="14.25" customHeight="1" spans="1:7">
      <c r="A38" s="144"/>
      <c r="B38" s="150" t="s">
        <v>68</v>
      </c>
      <c r="C38" s="160" t="s">
        <v>56</v>
      </c>
      <c r="D38" s="161" t="str">
        <f>IF(6&lt;$D$4,"Video",IF(6&lt;$D$4+$D$5,"Graphic",IF(6&lt;$D$4+$D$5+$D$6,"Simple","Not Used")))</f>
        <v>Not Used</v>
      </c>
      <c r="E38" s="162"/>
      <c r="F38" s="163"/>
      <c r="G38" s="162"/>
    </row>
    <row r="39" ht="14.25" customHeight="1" spans="1:7">
      <c r="A39" s="144"/>
      <c r="B39" s="150"/>
      <c r="C39" s="151" t="s">
        <v>57</v>
      </c>
      <c r="D39" s="152" t="s">
        <v>60</v>
      </c>
      <c r="E39" s="153" t="str">
        <f>IF(D39="Not Support","","357.3K gates  +  5.25KB RAM")</f>
        <v/>
      </c>
      <c r="F39" s="154"/>
      <c r="G39" s="155"/>
    </row>
    <row r="40" ht="14.25" customHeight="1" spans="1:7">
      <c r="A40" s="144"/>
      <c r="B40" s="150"/>
      <c r="C40" s="151" t="s">
        <v>59</v>
      </c>
      <c r="D40" s="152" t="s">
        <v>60</v>
      </c>
      <c r="E40" s="153" t="str">
        <f>IF(D40="Not Support","",IF($D$3=2,"567.7K gates","361.9K gates"))</f>
        <v/>
      </c>
      <c r="F40" s="154"/>
      <c r="G40" s="155"/>
    </row>
    <row r="41" ht="14.25" customHeight="1" spans="1:7">
      <c r="A41" s="144"/>
      <c r="B41" s="150"/>
      <c r="C41" s="156" t="s">
        <v>61</v>
      </c>
      <c r="D41" s="157" t="s">
        <v>60</v>
      </c>
      <c r="E41" s="153" t="str">
        <f>IF(D41="Not Support","",IF($D$3=2,"348.1K gates  +  120KB RAM","207.9K gates  +  96.56KB RAM"))</f>
        <v/>
      </c>
      <c r="F41" s="158"/>
      <c r="G41" s="159" t="s">
        <v>62</v>
      </c>
    </row>
    <row r="42" ht="14.25" customHeight="1" spans="1:7">
      <c r="A42" s="144"/>
      <c r="B42" s="150" t="s">
        <v>69</v>
      </c>
      <c r="C42" s="160" t="s">
        <v>56</v>
      </c>
      <c r="D42" s="161" t="str">
        <f>IF(7&lt;$D$4,"Video",IF(7&lt;$D$4+$D$5,"Graphic",IF(7&lt;$D$4+$D$5+$D$6,"Simple","Not Used")))</f>
        <v>Not Used</v>
      </c>
      <c r="E42" s="164"/>
      <c r="F42" s="165"/>
      <c r="G42" s="164"/>
    </row>
    <row r="43" ht="14.25" customHeight="1" spans="1:7">
      <c r="A43" s="144"/>
      <c r="B43" s="150"/>
      <c r="C43" s="151" t="s">
        <v>57</v>
      </c>
      <c r="D43" s="152" t="s">
        <v>60</v>
      </c>
      <c r="E43" s="153" t="str">
        <f>IF(D43="Not Support","","357.3K gates  +  5.25KB RAM")</f>
        <v/>
      </c>
      <c r="F43" s="154"/>
      <c r="G43" s="155"/>
    </row>
    <row r="44" ht="14.25" customHeight="1" spans="1:7">
      <c r="A44" s="144"/>
      <c r="B44" s="150"/>
      <c r="C44" s="151" t="s">
        <v>59</v>
      </c>
      <c r="D44" s="152" t="s">
        <v>60</v>
      </c>
      <c r="E44" s="153" t="str">
        <f>IF(D44="Not Support","",IF($D$3=2,"567.7K gates","361.9K gates"))</f>
        <v/>
      </c>
      <c r="F44" s="154"/>
      <c r="G44" s="155"/>
    </row>
    <row r="45" ht="14.25" customHeight="1" spans="1:7">
      <c r="A45" s="144"/>
      <c r="B45" s="150"/>
      <c r="C45" s="156" t="s">
        <v>61</v>
      </c>
      <c r="D45" s="157" t="s">
        <v>60</v>
      </c>
      <c r="E45" s="153" t="str">
        <f>IF(D45="Not Support","",IF($D$3=2,"348.1K gates  +  120KB RAM","207.9K gates  +  96.56KB RAM"))</f>
        <v/>
      </c>
      <c r="F45" s="158"/>
      <c r="G45" s="159" t="s">
        <v>62</v>
      </c>
    </row>
    <row r="46" ht="14.25" customHeight="1" spans="1:7">
      <c r="A46" s="144"/>
      <c r="B46" s="150" t="s">
        <v>70</v>
      </c>
      <c r="C46" s="160" t="s">
        <v>56</v>
      </c>
      <c r="D46" s="161" t="str">
        <f>IF(8&lt;$D$4,"Video",IF(8&lt;$D$4+$D$5,"Graphic",IF(8&lt;$D$4+$D$5+$D$6,"Simple","Not Used")))</f>
        <v>Not Used</v>
      </c>
      <c r="E46" s="162"/>
      <c r="F46" s="163"/>
      <c r="G46" s="162"/>
    </row>
    <row r="47" ht="14.25" customHeight="1" spans="1:7">
      <c r="A47" s="144"/>
      <c r="B47" s="150"/>
      <c r="C47" s="151" t="s">
        <v>57</v>
      </c>
      <c r="D47" s="152" t="s">
        <v>60</v>
      </c>
      <c r="E47" s="153" t="str">
        <f>IF(D47="Not Support","","357.3K gates  +  5.25KB RAM")</f>
        <v/>
      </c>
      <c r="F47" s="154"/>
      <c r="G47" s="155"/>
    </row>
    <row r="48" ht="14.25" customHeight="1" spans="1:7">
      <c r="A48" s="144"/>
      <c r="B48" s="150"/>
      <c r="C48" s="151" t="s">
        <v>59</v>
      </c>
      <c r="D48" s="152" t="s">
        <v>60</v>
      </c>
      <c r="E48" s="153" t="str">
        <f>IF(D48="Not Support","",IF($D$3=2,"567.7K gates","361.9K gates"))</f>
        <v/>
      </c>
      <c r="F48" s="154"/>
      <c r="G48" s="155"/>
    </row>
    <row r="49" ht="14.25" customHeight="1" spans="1:7">
      <c r="A49" s="144"/>
      <c r="B49" s="150"/>
      <c r="C49" s="156" t="s">
        <v>61</v>
      </c>
      <c r="D49" s="157" t="s">
        <v>60</v>
      </c>
      <c r="E49" s="153" t="str">
        <f>IF(D49="Not Support","",IF($D$3=2,"348.1K gates  +  120KB RAM","207.9K gates  +  96.56KB RAM"))</f>
        <v/>
      </c>
      <c r="F49" s="158"/>
      <c r="G49" s="159" t="s">
        <v>62</v>
      </c>
    </row>
    <row r="50" ht="14.25" customHeight="1" spans="1:7">
      <c r="A50" s="144"/>
      <c r="B50" s="150" t="s">
        <v>71</v>
      </c>
      <c r="C50" s="160" t="s">
        <v>56</v>
      </c>
      <c r="D50" s="161" t="str">
        <f>IF(9&lt;$D$4,"Video",IF(9&lt;$D$4+$D$5,"Graphic",IF(9&lt;$D$4+$D$5+$D$6,"Simple","Not Used")))</f>
        <v>Not Used</v>
      </c>
      <c r="E50" s="164"/>
      <c r="F50" s="165"/>
      <c r="G50" s="164"/>
    </row>
    <row r="51" ht="14.25" customHeight="1" spans="1:7">
      <c r="A51" s="144"/>
      <c r="B51" s="150"/>
      <c r="C51" s="151" t="s">
        <v>57</v>
      </c>
      <c r="D51" s="152" t="s">
        <v>60</v>
      </c>
      <c r="E51" s="153" t="str">
        <f>IF(D51="Not Support","","357.3K gates  +  5.25KB RAM")</f>
        <v/>
      </c>
      <c r="F51" s="154"/>
      <c r="G51" s="155"/>
    </row>
    <row r="52" ht="14.25" customHeight="1" spans="1:7">
      <c r="A52" s="144"/>
      <c r="B52" s="150"/>
      <c r="C52" s="151" t="s">
        <v>59</v>
      </c>
      <c r="D52" s="152" t="s">
        <v>60</v>
      </c>
      <c r="E52" s="153" t="str">
        <f>IF(D52="Not Support","",IF($D$3=2,"567.7K gates","361.9K gates"))</f>
        <v/>
      </c>
      <c r="F52" s="154"/>
      <c r="G52" s="155"/>
    </row>
    <row r="53" ht="14.25" customHeight="1" spans="1:7">
      <c r="A53" s="144"/>
      <c r="B53" s="150"/>
      <c r="C53" s="156" t="s">
        <v>61</v>
      </c>
      <c r="D53" s="157" t="s">
        <v>60</v>
      </c>
      <c r="E53" s="153" t="str">
        <f>IF(D53="Not Support","",IF($D$3=2,"348.1K gates  +  120KB RAM","207.9K gates  +  96.56KB RAM"))</f>
        <v/>
      </c>
      <c r="F53" s="158"/>
      <c r="G53" s="159" t="s">
        <v>62</v>
      </c>
    </row>
    <row r="54" ht="14.25" customHeight="1" spans="1:7">
      <c r="A54" s="144"/>
      <c r="B54" s="150" t="s">
        <v>72</v>
      </c>
      <c r="C54" s="160" t="s">
        <v>56</v>
      </c>
      <c r="D54" s="161" t="str">
        <f>IF(10&lt;$D$4,"Video",IF(10&lt;$D$4+$D$5,"Graphic",IF(10&lt;$D$4+$D$5+$D$6,"Simple","Not Used")))</f>
        <v>Not Used</v>
      </c>
      <c r="E54" s="162"/>
      <c r="F54" s="163"/>
      <c r="G54" s="162"/>
    </row>
    <row r="55" ht="14.25" customHeight="1" spans="1:7">
      <c r="A55" s="144"/>
      <c r="B55" s="150"/>
      <c r="C55" s="151" t="s">
        <v>57</v>
      </c>
      <c r="D55" s="152" t="s">
        <v>60</v>
      </c>
      <c r="E55" s="153" t="str">
        <f>IF(D55="Not Support","","357.3K gates  +  5.25KB RAM")</f>
        <v/>
      </c>
      <c r="F55" s="154"/>
      <c r="G55" s="155"/>
    </row>
    <row r="56" ht="14.25" customHeight="1" spans="1:7">
      <c r="A56" s="144"/>
      <c r="B56" s="150"/>
      <c r="C56" s="151" t="s">
        <v>59</v>
      </c>
      <c r="D56" s="152" t="s">
        <v>60</v>
      </c>
      <c r="E56" s="153" t="str">
        <f>IF(D56="Not Support","",IF($D$3=2,"567.7K gates","361.9K gates"))</f>
        <v/>
      </c>
      <c r="F56" s="154"/>
      <c r="G56" s="155"/>
    </row>
    <row r="57" ht="14.25" customHeight="1" spans="1:7">
      <c r="A57" s="144"/>
      <c r="B57" s="150"/>
      <c r="C57" s="166" t="s">
        <v>61</v>
      </c>
      <c r="D57" s="167" t="s">
        <v>60</v>
      </c>
      <c r="E57" s="168" t="str">
        <f>IF(D57="Not Support","",IF($D$3=2,"348.1K gates  +  120KB RAM","207.9K gates  +  96.56KB RAM"))</f>
        <v/>
      </c>
      <c r="F57" s="169"/>
      <c r="G57" s="159" t="s">
        <v>62</v>
      </c>
    </row>
    <row r="58" ht="14.25" customHeight="1" spans="1:7">
      <c r="A58" s="144"/>
      <c r="B58" s="150" t="s">
        <v>73</v>
      </c>
      <c r="C58" s="160" t="s">
        <v>56</v>
      </c>
      <c r="D58" s="161" t="str">
        <f>IF(11&lt;$D$4,"Video",IF(11&lt;$D$4+$D$5,"Graphic",IF(11&lt;$D$4+$D$5+$D$6,"Simple","Not Used")))</f>
        <v>Not Used</v>
      </c>
      <c r="E58" s="164"/>
      <c r="F58" s="165"/>
      <c r="G58" s="164"/>
    </row>
    <row r="59" ht="14.25" customHeight="1" spans="1:7">
      <c r="A59" s="144"/>
      <c r="B59" s="150"/>
      <c r="C59" s="151" t="s">
        <v>57</v>
      </c>
      <c r="D59" s="152" t="s">
        <v>60</v>
      </c>
      <c r="E59" s="153" t="str">
        <f>IF(D59="Not Support","","357.3K gates  +  5.25KB RAM")</f>
        <v/>
      </c>
      <c r="F59" s="154"/>
      <c r="G59" s="155"/>
    </row>
    <row r="60" ht="14.25" customHeight="1" spans="1:7">
      <c r="A60" s="144"/>
      <c r="B60" s="150"/>
      <c r="C60" s="151" t="s">
        <v>59</v>
      </c>
      <c r="D60" s="152" t="s">
        <v>60</v>
      </c>
      <c r="E60" s="153" t="str">
        <f>IF(D60="Not Support","",IF($D$3=2,"567.7K gates","361.9K gates"))</f>
        <v/>
      </c>
      <c r="F60" s="154"/>
      <c r="G60" s="155"/>
    </row>
    <row r="61" ht="14.25" customHeight="1" spans="1:7">
      <c r="A61" s="144"/>
      <c r="B61" s="150"/>
      <c r="C61" s="156" t="s">
        <v>61</v>
      </c>
      <c r="D61" s="157" t="s">
        <v>60</v>
      </c>
      <c r="E61" s="170" t="str">
        <f>IF(D61="Not Support","",IF($D$3=2,"348.1K gates  +  120KB RAM","207.9K gates  +  96.56KB RAM"))</f>
        <v/>
      </c>
      <c r="F61" s="158"/>
      <c r="G61" s="159" t="s">
        <v>62</v>
      </c>
    </row>
    <row r="62" ht="14.25" customHeight="1" spans="1:7">
      <c r="A62" s="144"/>
      <c r="B62" s="150" t="s">
        <v>74</v>
      </c>
      <c r="C62" s="160" t="s">
        <v>56</v>
      </c>
      <c r="D62" s="161" t="str">
        <f>IF(12&lt;$D$4,"Video",IF(12&lt;$D$4+$D$5,"Graphic",IF(12&lt;$D$4+$D$5+$D$6,"Simple","Not Used")))</f>
        <v>Not Used</v>
      </c>
      <c r="E62" s="164"/>
      <c r="F62" s="165"/>
      <c r="G62" s="164"/>
    </row>
    <row r="63" ht="14.25" customHeight="1" spans="1:7">
      <c r="A63" s="144"/>
      <c r="B63" s="150"/>
      <c r="C63" s="151" t="s">
        <v>57</v>
      </c>
      <c r="D63" s="152" t="s">
        <v>60</v>
      </c>
      <c r="E63" s="153" t="str">
        <f>IF(D63="Not Support","","357.3K gates  +  5.25KB RAM")</f>
        <v/>
      </c>
      <c r="F63" s="154"/>
      <c r="G63" s="155"/>
    </row>
    <row r="64" ht="14.25" customHeight="1" spans="1:7">
      <c r="A64" s="144"/>
      <c r="B64" s="150"/>
      <c r="C64" s="151" t="s">
        <v>59</v>
      </c>
      <c r="D64" s="152" t="s">
        <v>60</v>
      </c>
      <c r="E64" s="153" t="str">
        <f>IF(D64="Not Support","",IF($D$3=2,"567.7K gates","361.9K gates"))</f>
        <v/>
      </c>
      <c r="F64" s="154"/>
      <c r="G64" s="155"/>
    </row>
    <row r="65" ht="14.25" customHeight="1" spans="1:7">
      <c r="A65" s="144"/>
      <c r="B65" s="150"/>
      <c r="C65" s="156" t="s">
        <v>61</v>
      </c>
      <c r="D65" s="157" t="s">
        <v>60</v>
      </c>
      <c r="E65" s="170" t="str">
        <f>IF(D65="Not Support","",IF($D$3=2,"348.1K gates  +  120KB RAM","207.9K gates  +  96.56KB RAM"))</f>
        <v/>
      </c>
      <c r="F65" s="158"/>
      <c r="G65" s="159" t="s">
        <v>62</v>
      </c>
    </row>
    <row r="66" ht="14.25" customHeight="1" spans="1:7">
      <c r="A66" s="144"/>
      <c r="B66" s="150" t="s">
        <v>75</v>
      </c>
      <c r="C66" s="160" t="s">
        <v>56</v>
      </c>
      <c r="D66" s="161" t="str">
        <f>IF(13&lt;$D$4,"Video",IF(13&lt;$D$4+$D$5,"Graphic",IF(13&lt;$D$4+$D$5+$D$6,"Simple","Not Used")))</f>
        <v>Not Used</v>
      </c>
      <c r="E66" s="164"/>
      <c r="F66" s="165"/>
      <c r="G66" s="164"/>
    </row>
    <row r="67" ht="14.25" customHeight="1" spans="1:7">
      <c r="A67" s="144"/>
      <c r="B67" s="150"/>
      <c r="C67" s="151" t="s">
        <v>57</v>
      </c>
      <c r="D67" s="152" t="s">
        <v>60</v>
      </c>
      <c r="E67" s="153" t="str">
        <f>IF(D67="Not Support","","357.3K gates  +  5.25KB RAM")</f>
        <v/>
      </c>
      <c r="F67" s="154"/>
      <c r="G67" s="155"/>
    </row>
    <row r="68" ht="14.25" customHeight="1" spans="1:7">
      <c r="A68" s="144"/>
      <c r="B68" s="150"/>
      <c r="C68" s="151" t="s">
        <v>59</v>
      </c>
      <c r="D68" s="152" t="s">
        <v>60</v>
      </c>
      <c r="E68" s="153" t="str">
        <f>IF(D68="Not Support","",IF($D$3=2,"567.7K gates","361.9K gates"))</f>
        <v/>
      </c>
      <c r="F68" s="154"/>
      <c r="G68" s="155"/>
    </row>
    <row r="69" ht="14.25" customHeight="1" spans="1:7">
      <c r="A69" s="144"/>
      <c r="B69" s="150"/>
      <c r="C69" s="156" t="s">
        <v>61</v>
      </c>
      <c r="D69" s="157" t="s">
        <v>60</v>
      </c>
      <c r="E69" s="170" t="str">
        <f>IF(D69="Not Support","",IF($D$3=2,"348.1K gates  +  120KB RAM","207.9K gates  +  96.56KB RAM"))</f>
        <v/>
      </c>
      <c r="F69" s="158"/>
      <c r="G69" s="159" t="s">
        <v>62</v>
      </c>
    </row>
    <row r="70" ht="14.25" customHeight="1" spans="1:7">
      <c r="A70" s="144"/>
      <c r="B70" s="150" t="s">
        <v>76</v>
      </c>
      <c r="C70" s="160" t="s">
        <v>56</v>
      </c>
      <c r="D70" s="161" t="str">
        <f>IF(14&lt;$D$4,"Video",IF(14&lt;$D$4+$D$5,"Graphic",IF(14&lt;$D$4+$D$5+$D$6,"Simple","Not Used")))</f>
        <v>Not Used</v>
      </c>
      <c r="E70" s="164"/>
      <c r="F70" s="165"/>
      <c r="G70" s="164"/>
    </row>
    <row r="71" ht="14.25" customHeight="1" spans="1:7">
      <c r="A71" s="144"/>
      <c r="B71" s="150"/>
      <c r="C71" s="151" t="s">
        <v>57</v>
      </c>
      <c r="D71" s="152" t="s">
        <v>60</v>
      </c>
      <c r="E71" s="153" t="str">
        <f>IF(D71="Not Support","","357.3K gates  +  5.25KB RAM")</f>
        <v/>
      </c>
      <c r="F71" s="154"/>
      <c r="G71" s="155"/>
    </row>
    <row r="72" ht="14.25" customHeight="1" spans="1:7">
      <c r="A72" s="144"/>
      <c r="B72" s="150"/>
      <c r="C72" s="151" t="s">
        <v>59</v>
      </c>
      <c r="D72" s="152" t="s">
        <v>60</v>
      </c>
      <c r="E72" s="153" t="str">
        <f>IF(D72="Not Support","",IF($D$3=2,"567.7K gates","361.9K gates"))</f>
        <v/>
      </c>
      <c r="F72" s="154"/>
      <c r="G72" s="155"/>
    </row>
    <row r="73" ht="14.25" customHeight="1" spans="1:7">
      <c r="A73" s="144"/>
      <c r="B73" s="150"/>
      <c r="C73" s="156" t="s">
        <v>61</v>
      </c>
      <c r="D73" s="157" t="s">
        <v>60</v>
      </c>
      <c r="E73" s="170" t="str">
        <f>IF(D73="Not Support","",IF($D$3=2,"348.1K gates  +  120KB RAM","207.9K gates  +  96.56KB RAM"))</f>
        <v/>
      </c>
      <c r="F73" s="158"/>
      <c r="G73" s="159" t="s">
        <v>62</v>
      </c>
    </row>
    <row r="74" ht="14.25" customHeight="1" spans="1:7">
      <c r="A74" s="144"/>
      <c r="B74" s="150" t="s">
        <v>77</v>
      </c>
      <c r="C74" s="160" t="s">
        <v>56</v>
      </c>
      <c r="D74" s="161" t="str">
        <f>IF(15&lt;$D$4,"Video",IF(15&lt;$D$4+$D$5,"Graphic",IF(15&lt;$D$4+$D$5+$D$6,"Simple","Not Used")))</f>
        <v>Not Used</v>
      </c>
      <c r="E74" s="164"/>
      <c r="F74" s="165"/>
      <c r="G74" s="164"/>
    </row>
    <row r="75" ht="14.25" customHeight="1" spans="1:7">
      <c r="A75" s="144"/>
      <c r="B75" s="150"/>
      <c r="C75" s="151" t="s">
        <v>57</v>
      </c>
      <c r="D75" s="152" t="s">
        <v>60</v>
      </c>
      <c r="E75" s="153" t="str">
        <f>IF(D75="Not Support","","357.3K gates  +  5.25KB RAM")</f>
        <v/>
      </c>
      <c r="F75" s="154"/>
      <c r="G75" s="155"/>
    </row>
    <row r="76" ht="14.25" customHeight="1" spans="1:7">
      <c r="A76" s="144"/>
      <c r="B76" s="150"/>
      <c r="C76" s="151" t="s">
        <v>59</v>
      </c>
      <c r="D76" s="152" t="s">
        <v>60</v>
      </c>
      <c r="E76" s="153" t="str">
        <f>IF(D76="Not Support","",IF($D$3=2,"567.7K gates","361.9K gates"))</f>
        <v/>
      </c>
      <c r="F76" s="154"/>
      <c r="G76" s="155"/>
    </row>
    <row r="77" ht="14.25" customHeight="1" spans="1:7">
      <c r="A77" s="144"/>
      <c r="B77" s="150"/>
      <c r="C77" s="156" t="s">
        <v>61</v>
      </c>
      <c r="D77" s="157" t="s">
        <v>60</v>
      </c>
      <c r="E77" s="170" t="str">
        <f>IF(D77="Not Support","",IF($D$3=2,"348.1K gates  +  120KB RAM","207.9K gates  +  96.56KB RAM"))</f>
        <v/>
      </c>
      <c r="F77" s="158"/>
      <c r="G77" s="159" t="s">
        <v>62</v>
      </c>
    </row>
    <row r="79" spans="1:7">
      <c r="A79" s="171" t="s">
        <v>78</v>
      </c>
      <c r="B79" s="171"/>
      <c r="C79" s="171"/>
      <c r="D79" s="171"/>
      <c r="E79" s="171"/>
      <c r="F79" s="171"/>
      <c r="G79" s="171"/>
    </row>
    <row r="80" ht="13.5" customHeight="1" spans="1:7">
      <c r="A80" s="140" t="s">
        <v>28</v>
      </c>
      <c r="B80" s="140" t="s">
        <v>79</v>
      </c>
      <c r="C80" s="142" t="s">
        <v>54</v>
      </c>
      <c r="D80" s="104" t="s">
        <v>30</v>
      </c>
      <c r="E80" s="172" t="s">
        <v>31</v>
      </c>
      <c r="F80" s="173" t="s">
        <v>32</v>
      </c>
      <c r="G80" s="172" t="s">
        <v>33</v>
      </c>
    </row>
    <row r="81" ht="13.5" customHeight="1" spans="1:7">
      <c r="A81" s="174" t="s">
        <v>45</v>
      </c>
      <c r="B81" s="175" t="s">
        <v>80</v>
      </c>
      <c r="C81" s="160" t="s">
        <v>81</v>
      </c>
      <c r="D81" s="161" t="str">
        <f>IF(0&lt;$D$8,"Enable","Not Used")</f>
        <v>Enable</v>
      </c>
      <c r="E81" s="176"/>
      <c r="F81" s="163"/>
      <c r="G81" s="162"/>
    </row>
    <row r="82" ht="13.5" customHeight="1" spans="1:7">
      <c r="A82" s="174"/>
      <c r="B82" s="175"/>
      <c r="C82" s="151" t="s">
        <v>82</v>
      </c>
      <c r="D82" s="152" t="s">
        <v>58</v>
      </c>
      <c r="E82" s="153" t="str">
        <f>IF(D82="Not Support","",IF($D$3=2,"138.5K gates","88.0K gates"))</f>
        <v>88.0K gates</v>
      </c>
      <c r="F82" s="154"/>
      <c r="G82" s="155"/>
    </row>
    <row r="83" ht="13.5" customHeight="1" spans="1:7">
      <c r="A83" s="174"/>
      <c r="B83" s="175"/>
      <c r="C83" s="151" t="s">
        <v>83</v>
      </c>
      <c r="D83" s="152" t="s">
        <v>60</v>
      </c>
      <c r="E83" s="153" t="str">
        <f>IF(D83="Not Support","",IF($D$3=2,"348.1K gates  +  96.56KB RAM","207.9K gates  +  96.56KB RAM"))</f>
        <v/>
      </c>
      <c r="F83" s="154"/>
      <c r="G83" s="155"/>
    </row>
    <row r="84" ht="13.5" customHeight="1" spans="1:7">
      <c r="A84" s="174"/>
      <c r="B84" s="175"/>
      <c r="C84" s="151" t="s">
        <v>84</v>
      </c>
      <c r="D84" s="152" t="s">
        <v>60</v>
      </c>
      <c r="E84" s="153" t="str">
        <f>IF(D84="Not Support","",IF($D$3=2,"2540.1K gates  +  139.1KB RAM","452.6K gates  +  50KB RAM"))</f>
        <v/>
      </c>
      <c r="F84" s="154"/>
      <c r="G84" s="155"/>
    </row>
    <row r="85" ht="13.5" customHeight="1" spans="1:7">
      <c r="A85" s="174"/>
      <c r="B85" s="175"/>
      <c r="C85" s="151" t="s">
        <v>85</v>
      </c>
      <c r="D85" s="152" t="s">
        <v>60</v>
      </c>
      <c r="E85" s="153" t="str">
        <f>IF(D85="Not Support","",IF($D$3=2,"1047.6K gates  +  96KB RAM","523.8K gates  +  96KB RAM"))</f>
        <v/>
      </c>
      <c r="F85" s="154"/>
      <c r="G85" s="155"/>
    </row>
    <row r="86" ht="13.5" customHeight="1" spans="1:7">
      <c r="A86" s="174"/>
      <c r="B86" s="175"/>
      <c r="C86" s="156" t="s">
        <v>86</v>
      </c>
      <c r="D86" s="157" t="s">
        <v>60</v>
      </c>
      <c r="E86" s="153" t="str">
        <f>IF(D86="Not Support","",IF($D$3=2,"82.4K gates  +  57.56KB RAM","46.6K gates  +  28.78KB RAM"))</f>
        <v/>
      </c>
      <c r="F86" s="158"/>
      <c r="G86" s="159"/>
    </row>
    <row r="87" ht="13.5" customHeight="1" spans="1:7">
      <c r="A87" s="174"/>
      <c r="B87" s="175" t="s">
        <v>87</v>
      </c>
      <c r="C87" s="160" t="s">
        <v>88</v>
      </c>
      <c r="D87" s="161" t="str">
        <f>IF(1&lt;$D$8,"Enable","Not Used")</f>
        <v>Enable</v>
      </c>
      <c r="E87" s="176"/>
      <c r="F87" s="163"/>
      <c r="G87" s="162"/>
    </row>
    <row r="88" ht="13.5" customHeight="1" spans="1:7">
      <c r="A88" s="174"/>
      <c r="B88" s="175"/>
      <c r="C88" s="151" t="s">
        <v>82</v>
      </c>
      <c r="D88" s="152" t="s">
        <v>58</v>
      </c>
      <c r="E88" s="153" t="str">
        <f>IF(D88="Not Support","",IF($D$3=2,"138.5K gates","88.0K gates"))</f>
        <v>88.0K gates</v>
      </c>
      <c r="F88" s="154"/>
      <c r="G88" s="155"/>
    </row>
    <row r="89" ht="13.5" customHeight="1" spans="1:7">
      <c r="A89" s="174"/>
      <c r="B89" s="175"/>
      <c r="C89" s="151" t="s">
        <v>83</v>
      </c>
      <c r="D89" s="152" t="s">
        <v>60</v>
      </c>
      <c r="E89" s="153" t="str">
        <f>IF(D89="Not Support","",IF($D$3=2,"348.1K gates  +  96.56KB RAM","207.9K gates  +  96.56KB RAM"))</f>
        <v/>
      </c>
      <c r="F89" s="154"/>
      <c r="G89" s="155"/>
    </row>
    <row r="90" ht="13.5" customHeight="1" spans="1:7">
      <c r="A90" s="174"/>
      <c r="B90" s="175"/>
      <c r="C90" s="151" t="s">
        <v>84</v>
      </c>
      <c r="D90" s="152" t="s">
        <v>60</v>
      </c>
      <c r="E90" s="153" t="str">
        <f>IF(D90="Not Support","",IF($D$3=2,"2540.1K gates  +  139.1KB RAM","452.6K gates  +  50KB RAM"))</f>
        <v/>
      </c>
      <c r="F90" s="154"/>
      <c r="G90" s="155"/>
    </row>
    <row r="91" ht="13.5" customHeight="1" spans="1:7">
      <c r="A91" s="174"/>
      <c r="B91" s="175"/>
      <c r="C91" s="151" t="s">
        <v>85</v>
      </c>
      <c r="D91" s="152" t="s">
        <v>60</v>
      </c>
      <c r="E91" s="153" t="str">
        <f>IF(D91="Not Support","",IF($D$3=2,"1047.6K gates  +  96KB RAM","523.8K gates  +  96KB RAM"))</f>
        <v/>
      </c>
      <c r="F91" s="154"/>
      <c r="G91" s="155"/>
    </row>
    <row r="92" ht="13.5" customHeight="1" spans="1:7">
      <c r="A92" s="174"/>
      <c r="B92" s="175"/>
      <c r="C92" s="156" t="s">
        <v>86</v>
      </c>
      <c r="D92" s="157" t="s">
        <v>60</v>
      </c>
      <c r="E92" s="168" t="str">
        <f>IF(D92="Not Support","",IF($D$3=2,"82.4K gates  +  57.56KB RAM","46.6K gates  +  28.78KB RAM"))</f>
        <v/>
      </c>
      <c r="F92" s="158"/>
      <c r="G92" s="159"/>
    </row>
    <row r="93" ht="13.5" customHeight="1" spans="1:7">
      <c r="A93" s="174"/>
      <c r="B93" s="175" t="s">
        <v>89</v>
      </c>
      <c r="C93" s="160" t="s">
        <v>81</v>
      </c>
      <c r="D93" s="161" t="str">
        <f>IF(2&lt;$D$8,"Enable","Not Used")</f>
        <v>Not Used</v>
      </c>
      <c r="E93" s="177"/>
      <c r="F93" s="163"/>
      <c r="G93" s="162"/>
    </row>
    <row r="94" ht="13.5" customHeight="1" spans="1:7">
      <c r="A94" s="174"/>
      <c r="B94" s="175"/>
      <c r="C94" s="151" t="s">
        <v>82</v>
      </c>
      <c r="D94" s="152" t="s">
        <v>60</v>
      </c>
      <c r="E94" s="153" t="str">
        <f>IF(D94="Not Support","",IF($D$3=2,"138.5K gates","88.0K gates"))</f>
        <v/>
      </c>
      <c r="F94" s="154"/>
      <c r="G94" s="155"/>
    </row>
    <row r="95" ht="13.5" customHeight="1" spans="1:7">
      <c r="A95" s="174"/>
      <c r="B95" s="175"/>
      <c r="C95" s="151" t="s">
        <v>83</v>
      </c>
      <c r="D95" s="152" t="s">
        <v>60</v>
      </c>
      <c r="E95" s="153" t="str">
        <f>IF(D95="Not Support","",IF($D$3=2,"348.1K gates  +  96.56KB RAM","207.9K gates  +  96.56KB RAM"))</f>
        <v/>
      </c>
      <c r="F95" s="154"/>
      <c r="G95" s="155"/>
    </row>
    <row r="96" ht="13.5" customHeight="1" spans="1:7">
      <c r="A96" s="174"/>
      <c r="B96" s="175"/>
      <c r="C96" s="166" t="s">
        <v>86</v>
      </c>
      <c r="D96" s="157" t="s">
        <v>60</v>
      </c>
      <c r="E96" s="170" t="str">
        <f>IF(D96="Not Support","",IF($D$3=2,"82.4K gates  +  57.56KB RAM","46.6K gates  +  28.78KB RAM"))</f>
        <v/>
      </c>
      <c r="F96" s="169"/>
      <c r="G96" s="178"/>
    </row>
    <row r="97" ht="13.5" customHeight="1" spans="1:7">
      <c r="A97" s="174"/>
      <c r="B97" s="175" t="s">
        <v>90</v>
      </c>
      <c r="C97" s="160" t="s">
        <v>81</v>
      </c>
      <c r="D97" s="161" t="str">
        <f>IF(3&lt;$D$8,"Enable","Not Used")</f>
        <v>Not Used</v>
      </c>
      <c r="E97" s="177"/>
      <c r="F97" s="163"/>
      <c r="G97" s="162"/>
    </row>
    <row r="98" ht="13.5" customHeight="1" spans="1:7">
      <c r="A98" s="174"/>
      <c r="B98" s="175"/>
      <c r="C98" s="151" t="s">
        <v>82</v>
      </c>
      <c r="D98" s="152" t="s">
        <v>60</v>
      </c>
      <c r="E98" s="153" t="str">
        <f>IF(D98="Not Support","",IF($D$3=2,"138.5K gates","88.0K gates"))</f>
        <v/>
      </c>
      <c r="F98" s="154"/>
      <c r="G98" s="155"/>
    </row>
    <row r="99" ht="13.5" customHeight="1" spans="1:7">
      <c r="A99" s="174"/>
      <c r="B99" s="175"/>
      <c r="C99" s="151" t="s">
        <v>83</v>
      </c>
      <c r="D99" s="152" t="s">
        <v>60</v>
      </c>
      <c r="E99" s="153" t="str">
        <f>IF(D99="Not Support","",IF($D$3=2,"348.1K gates  +  96.56KB RAM","207.9K gates  +  96.56KB RAM"))</f>
        <v/>
      </c>
      <c r="F99" s="154"/>
      <c r="G99" s="155"/>
    </row>
    <row r="100" ht="13.5" customHeight="1" spans="1:7">
      <c r="A100" s="174"/>
      <c r="B100" s="175"/>
      <c r="C100" s="166" t="s">
        <v>86</v>
      </c>
      <c r="D100" s="167" t="s">
        <v>60</v>
      </c>
      <c r="E100" s="168" t="str">
        <f>IF(D100="Not Support","",IF($D$3=2,"82.4K gates  +  57.56KB RAM","46.6K gates  +  28.78KB RAM"))</f>
        <v/>
      </c>
      <c r="F100" s="169"/>
      <c r="G100" s="178"/>
    </row>
    <row r="101" ht="13.5" spans="1:7">
      <c r="A101" s="174"/>
      <c r="B101" s="179" t="s">
        <v>91</v>
      </c>
      <c r="C101" s="180" t="s">
        <v>92</v>
      </c>
      <c r="D101" s="161">
        <v>1</v>
      </c>
      <c r="E101" s="162" t="str">
        <f>IF(D101="Not Used","",IF(D3=1,196*D101&amp;"K gates ,"&amp;16*D101&amp;"KB RAM",382*D101&amp;"K gates,"&amp;16*D101&amp;"KB RAM"))</f>
        <v>196K gates ,16KB RAM</v>
      </c>
      <c r="F101" s="181"/>
      <c r="G101" s="182"/>
    </row>
    <row r="102" ht="13.5" spans="1:7">
      <c r="A102" s="174"/>
      <c r="B102" s="174"/>
      <c r="C102" s="183" t="s">
        <v>93</v>
      </c>
      <c r="D102" s="152" t="s">
        <v>94</v>
      </c>
      <c r="E102" s="184" t="str">
        <f>IF(D101="Not Used","",IF(D102="Not Support",16*D101&amp;"KB RAM",8*D101&amp;"KB RAM"))</f>
        <v>8KB RAM</v>
      </c>
      <c r="F102" s="185"/>
      <c r="G102" s="186"/>
    </row>
    <row r="103" ht="13.5" spans="1:7">
      <c r="A103" s="174"/>
      <c r="B103" s="174"/>
      <c r="C103" s="187" t="s">
        <v>95</v>
      </c>
      <c r="D103" s="157" t="s">
        <v>96</v>
      </c>
      <c r="E103" s="188" t="str">
        <f>IF(D101="Not Used","",IF(D103="Offline write back only","",2*D101&amp;"KB RAM"))</f>
        <v>2KB RAM</v>
      </c>
      <c r="F103" s="189"/>
      <c r="G103" s="190"/>
    </row>
    <row r="105" spans="1:7">
      <c r="A105" s="191" t="s">
        <v>97</v>
      </c>
    </row>
    <row r="106" spans="1:7">
      <c r="A106" s="97" t="s">
        <v>98</v>
      </c>
    </row>
  </sheetData>
  <mergeCells count="33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4:A7"/>
    <mergeCell ref="A14:A77"/>
    <mergeCell ref="A81:A10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81:B86"/>
    <mergeCell ref="B87:B92"/>
    <mergeCell ref="B93:B96"/>
    <mergeCell ref="B97:B100"/>
    <mergeCell ref="B101:B103"/>
  </mergeCells>
  <conditionalFormatting sqref="D9">
    <cfRule type="expression" dxfId="0" priority="53">
      <formula>$G9="NA"</formula>
    </cfRule>
    <cfRule type="expression" dxfId="0" priority="54">
      <formula>$G9="Not Supported"</formula>
    </cfRule>
  </conditionalFormatting>
  <conditionalFormatting sqref="C13:D13">
    <cfRule type="cellIs" dxfId="1" priority="13" operator="equal">
      <formula>"Not Support"</formula>
    </cfRule>
  </conditionalFormatting>
  <conditionalFormatting sqref="D23">
    <cfRule type="cellIs" dxfId="1" priority="46" operator="equal">
      <formula>"Not Support"</formula>
    </cfRule>
  </conditionalFormatting>
  <conditionalFormatting sqref="D27">
    <cfRule type="cellIs" dxfId="1" priority="44" operator="equal">
      <formula>"Not Support"</formula>
    </cfRule>
  </conditionalFormatting>
  <conditionalFormatting sqref="D33">
    <cfRule type="cellIs" dxfId="1" priority="61" operator="equal">
      <formula>"Not Support"</formula>
    </cfRule>
  </conditionalFormatting>
  <conditionalFormatting sqref="D37">
    <cfRule type="cellIs" dxfId="1" priority="43" operator="equal">
      <formula>"Not Support"</formula>
    </cfRule>
  </conditionalFormatting>
  <conditionalFormatting sqref="C80:D80">
    <cfRule type="cellIs" dxfId="1" priority="11" operator="equal">
      <formula>"Not Support"</formula>
    </cfRule>
  </conditionalFormatting>
  <conditionalFormatting sqref="D2:D10">
    <cfRule type="cellIs" dxfId="1" priority="52" operator="equal">
      <formula>"Not Support"</formula>
    </cfRule>
  </conditionalFormatting>
  <conditionalFormatting sqref="D15:D17">
    <cfRule type="cellIs" dxfId="1" priority="6" operator="equal">
      <formula>"Not Support"</formula>
    </cfRule>
  </conditionalFormatting>
  <conditionalFormatting sqref="D19:D21">
    <cfRule type="cellIs" dxfId="1" priority="5" operator="equal">
      <formula>"Not Support"</formula>
    </cfRule>
  </conditionalFormatting>
  <conditionalFormatting sqref="D24:D25">
    <cfRule type="cellIs" dxfId="1" priority="4" operator="equal">
      <formula>"Not Support"</formula>
    </cfRule>
  </conditionalFormatting>
  <conditionalFormatting sqref="D28:D29">
    <cfRule type="cellIs" dxfId="1" priority="3" operator="equal">
      <formula>"Not Support"</formula>
    </cfRule>
  </conditionalFormatting>
  <conditionalFormatting sqref="D31:D32">
    <cfRule type="cellIs" dxfId="1" priority="2" operator="equal">
      <formula>"Not Support"</formula>
    </cfRule>
  </conditionalFormatting>
  <conditionalFormatting sqref="D35:D36">
    <cfRule type="cellIs" dxfId="1" priority="1" operator="equal">
      <formula>"Not Support"</formula>
    </cfRule>
  </conditionalFormatting>
  <conditionalFormatting sqref="D39:D41">
    <cfRule type="cellIs" dxfId="1" priority="42" operator="equal">
      <formula>"Not Support"</formula>
    </cfRule>
  </conditionalFormatting>
  <conditionalFormatting sqref="D43:D45">
    <cfRule type="cellIs" dxfId="1" priority="10" operator="equal">
      <formula>"Not Support"</formula>
    </cfRule>
  </conditionalFormatting>
  <conditionalFormatting sqref="D47:D49">
    <cfRule type="cellIs" dxfId="1" priority="60" operator="equal">
      <formula>"Not Support"</formula>
    </cfRule>
  </conditionalFormatting>
  <conditionalFormatting sqref="D51:D53">
    <cfRule type="cellIs" dxfId="1" priority="58" operator="equal">
      <formula>"Not Support"</formula>
    </cfRule>
  </conditionalFormatting>
  <conditionalFormatting sqref="D55:D57">
    <cfRule type="cellIs" dxfId="1" priority="59" operator="equal">
      <formula>"Not Support"</formula>
    </cfRule>
  </conditionalFormatting>
  <conditionalFormatting sqref="D59:D61">
    <cfRule type="cellIs" dxfId="1" priority="57" operator="equal">
      <formula>"Not Support"</formula>
    </cfRule>
  </conditionalFormatting>
  <conditionalFormatting sqref="D63:D65">
    <cfRule type="cellIs" dxfId="1" priority="34" operator="equal">
      <formula>"Not Support"</formula>
    </cfRule>
  </conditionalFormatting>
  <conditionalFormatting sqref="D67:D69">
    <cfRule type="cellIs" dxfId="1" priority="28" operator="equal">
      <formula>"Not Support"</formula>
    </cfRule>
  </conditionalFormatting>
  <conditionalFormatting sqref="D71:D73">
    <cfRule type="cellIs" dxfId="1" priority="22" operator="equal">
      <formula>"Not Support"</formula>
    </cfRule>
  </conditionalFormatting>
  <conditionalFormatting sqref="D75:D77">
    <cfRule type="cellIs" dxfId="1" priority="16" operator="equal">
      <formula>"Not Support"</formula>
    </cfRule>
  </conditionalFormatting>
  <conditionalFormatting sqref="D82:D86">
    <cfRule type="cellIs" dxfId="1" priority="95" operator="equal">
      <formula>"Not Support"</formula>
    </cfRule>
  </conditionalFormatting>
  <conditionalFormatting sqref="D88:D92">
    <cfRule type="cellIs" dxfId="1" priority="8" operator="equal">
      <formula>"Not Support"</formula>
    </cfRule>
  </conditionalFormatting>
  <conditionalFormatting sqref="D94:D96">
    <cfRule type="cellIs" dxfId="1" priority="7" operator="equal">
      <formula>"Not Support"</formula>
    </cfRule>
  </conditionalFormatting>
  <conditionalFormatting sqref="D98:D100">
    <cfRule type="cellIs" dxfId="1" priority="63" operator="equal">
      <formula>"Not Support"</formula>
    </cfRule>
  </conditionalFormatting>
  <conditionalFormatting sqref="D101:D103">
    <cfRule type="cellIs" dxfId="2" priority="49" operator="equal">
      <formula>"Not Used"</formula>
    </cfRule>
  </conditionalFormatting>
  <conditionalFormatting sqref="D102:D103">
    <cfRule type="cellIs" dxfId="1" priority="48" operator="equal">
      <formula>"Not Support"</formula>
    </cfRule>
  </conditionalFormatting>
  <conditionalFormatting sqref="E81:E100">
    <cfRule type="cellIs" dxfId="2" priority="50" operator="equal">
      <formula>"Not Used"</formula>
    </cfRule>
  </conditionalFormatting>
  <conditionalFormatting sqref="G81:G100">
    <cfRule type="cellIs" dxfId="2" priority="91" operator="equal">
      <formula>"Not Used"</formula>
    </cfRule>
  </conditionalFormatting>
  <conditionalFormatting sqref="C11 C78 C103:C1048576">
    <cfRule type="cellIs" dxfId="1" priority="102" operator="equal">
      <formula>"Not Support"</formula>
    </cfRule>
  </conditionalFormatting>
  <conditionalFormatting sqref="A14:D14 A78:F78 A79 A80:B80 F80:F100 A81:D81 B82:D100">
    <cfRule type="cellIs" dxfId="2" priority="93" operator="equal">
      <formula>"Not Used"</formula>
    </cfRule>
  </conditionalFormatting>
  <conditionalFormatting sqref="E14:G77">
    <cfRule type="cellIs" dxfId="2" priority="15" operator="equal">
      <formula>"Not Used"</formula>
    </cfRule>
  </conditionalFormatting>
  <conditionalFormatting sqref="B15:D77">
    <cfRule type="cellIs" dxfId="2" priority="20" operator="equal">
      <formula>"Not Used"</formula>
    </cfRule>
  </conditionalFormatting>
  <dataValidations count="12">
    <dataValidation type="list" allowBlank="1" showInputMessage="1" showErrorMessage="1" sqref="D3">
      <formula1>"1,2"</formula1>
    </dataValidation>
    <dataValidation type="list" allowBlank="1" showInputMessage="1" showErrorMessage="1" sqref="D4">
      <formula1>"1,2,3,4,5,6,7,8,9,10,11,12,0"</formula1>
    </dataValidation>
    <dataValidation type="list" allowBlank="1" showInputMessage="1" showErrorMessage="1" sqref="D7">
      <formula1>"0,1,2,3,4"</formula1>
    </dataValidation>
    <dataValidation type="list" allowBlank="1" showInputMessage="1" showErrorMessage="1" sqref="D8">
      <formula1>"1,2,3,4"</formula1>
    </dataValidation>
    <dataValidation type="list" allowBlank="1" showInputMessage="1" showErrorMessage="1" sqref="D9">
      <formula1>"Not Support,DECNano3.0"</formula1>
    </dataValidation>
    <dataValidation type="list" allowBlank="1" showInputMessage="1" showErrorMessage="1" sqref="D10">
      <formula1>"256bits"</formula1>
    </dataValidation>
    <dataValidation type="list" allowBlank="1" showInputMessage="1" showErrorMessage="1" sqref="D15 D17 D19 D21 D23 D25 D27 D29 D39 D41 D43 D45 D47 D49 D51 D53 D55 D57 D59 D61 D63 D65 D67 D69 D71 D73 D75 D77 D32:D33 D36:D37 D82:D86 D88:D92 D94:D96 D98:D100">
      <formula1>"Support,Not Support"</formula1>
    </dataValidation>
    <dataValidation type="list" allowBlank="1" showInputMessage="1" showErrorMessage="1" sqref="D16 D20 D24 D28 D31 D35 D40 D44 D48 D52 D56 D60 D64 D68 D72 D76">
      <formula1>"Not Support,Support"</formula1>
    </dataValidation>
    <dataValidation type="list" allowBlank="1" showInputMessage="1" showErrorMessage="1" sqref="D101">
      <formula1>"1,2,Not Used"</formula1>
    </dataValidation>
    <dataValidation type="list" allowBlank="1" showInputMessage="1" showErrorMessage="1" sqref="D102">
      <formula1>"Tile &amp; Linear,Linear only"</formula1>
    </dataValidation>
    <dataValidation type="list" allowBlank="1" showInputMessage="1" showErrorMessage="1" sqref="D103">
      <formula1>"On-Line&amp;Offline write back,On-Line write back only"</formula1>
    </dataValidation>
    <dataValidation type="list" allowBlank="1" showInputMessage="1" showErrorMessage="1" sqref="D5:D6">
      <formula1>"0,1,2,3,4,5,6,7,8,9,10,11,12"</formula1>
    </dataValidation>
  </dataValidation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1"/>
  <sheetViews>
    <sheetView showGridLines="0" zoomScale="145" zoomScaleNormal="145" topLeftCell="A45" workbookViewId="0">
      <selection activeCell="F66" sqref="F66"/>
    </sheetView>
  </sheetViews>
  <sheetFormatPr defaultColWidth="8.5" defaultRowHeight="14.25" outlineLevelCol="4"/>
  <cols>
    <col min="1" max="1" width="14.75" customWidth="1"/>
    <col min="2" max="2" width="11.875" customWidth="1"/>
    <col min="3" max="3" width="34" customWidth="1"/>
    <col min="4" max="4" width="19.75" customWidth="1"/>
    <col min="5" max="5" width="23.5" customWidth="1"/>
  </cols>
  <sheetData>
    <row r="1" s="74" customFormat="1" spans="1:5">
      <c r="A1" s="75" t="s">
        <v>28</v>
      </c>
      <c r="B1" s="75"/>
      <c r="C1" s="75" t="s">
        <v>99</v>
      </c>
      <c r="D1" s="75"/>
      <c r="E1" s="76" t="s">
        <v>100</v>
      </c>
    </row>
    <row r="2" spans="1:5">
      <c r="A2" s="77" t="s">
        <v>101</v>
      </c>
      <c r="B2" s="77"/>
      <c r="C2" s="77"/>
      <c r="D2" s="78" t="s">
        <v>102</v>
      </c>
      <c r="E2" s="79"/>
    </row>
    <row r="3" ht="15" customHeight="1" spans="1:5">
      <c r="A3" s="80" t="s">
        <v>103</v>
      </c>
      <c r="B3" s="80"/>
      <c r="C3" s="81" t="s">
        <v>104</v>
      </c>
      <c r="D3" s="82" t="str">
        <f>IF(Configuration!D3=1,"4096x2160@60fps","4096x2160@120fps")</f>
        <v>4096x2160@60fps</v>
      </c>
      <c r="E3" s="79"/>
    </row>
    <row r="4" spans="1:5">
      <c r="A4" s="80"/>
      <c r="B4" s="80"/>
      <c r="C4" s="81" t="s">
        <v>105</v>
      </c>
      <c r="D4" s="82" t="str">
        <f>IF(Configuration!D3=1,IF(D7&gt;1,"4096x2160@120fps","Not Support"),IF(D7=1,"Not Support","7680x4320@60fps"))</f>
        <v>4096x2160@120fps</v>
      </c>
      <c r="E4" s="79" t="s">
        <v>106</v>
      </c>
    </row>
    <row r="5" spans="1:5">
      <c r="A5" s="77" t="s">
        <v>107</v>
      </c>
      <c r="B5" s="77"/>
      <c r="C5" s="79" t="s">
        <v>108</v>
      </c>
      <c r="D5" s="82">
        <f>Configuration!D3</f>
        <v>1</v>
      </c>
      <c r="E5" s="79"/>
    </row>
    <row r="6" spans="1:5">
      <c r="A6" s="83" t="s">
        <v>109</v>
      </c>
      <c r="B6" s="83"/>
      <c r="C6" s="79" t="s">
        <v>36</v>
      </c>
      <c r="D6" s="82">
        <f>ROUNDUP(SUM(Configuration!D4:D7)/8,0)</f>
        <v>1</v>
      </c>
      <c r="E6" s="79"/>
    </row>
    <row r="7" spans="1:5">
      <c r="A7" s="83"/>
      <c r="B7" s="83"/>
      <c r="C7" s="79" t="s">
        <v>45</v>
      </c>
      <c r="D7" s="82">
        <f>Configuration!D8</f>
        <v>2</v>
      </c>
      <c r="E7" s="79"/>
    </row>
    <row r="8" spans="1:5">
      <c r="A8" s="83" t="s">
        <v>110</v>
      </c>
      <c r="B8" s="83"/>
      <c r="C8" s="79" t="s">
        <v>48</v>
      </c>
      <c r="D8" s="82" t="str">
        <f>Configuration!D9</f>
        <v>DECNano3.0</v>
      </c>
      <c r="E8" s="79"/>
    </row>
    <row r="9" spans="1:5">
      <c r="A9" s="83" t="s">
        <v>111</v>
      </c>
      <c r="B9" s="83"/>
      <c r="C9" s="79" t="s">
        <v>112</v>
      </c>
      <c r="D9" s="82" t="s">
        <v>113</v>
      </c>
      <c r="E9" s="79" t="s">
        <v>114</v>
      </c>
    </row>
    <row r="10" spans="1:5">
      <c r="A10" s="83"/>
      <c r="B10" s="83"/>
      <c r="C10" s="79" t="s">
        <v>115</v>
      </c>
      <c r="D10" s="82" t="str">
        <f>IF(SUM(Configuration!D4:D7)=0,"Not Support",(D6*IF(ROUNDUP(SUM(Configuration!D4:D7)/D6,0)&gt;3,2,1))&amp;"x"&amp;Configuration!D10)</f>
        <v>2x256bits</v>
      </c>
      <c r="E10" s="79"/>
    </row>
    <row r="11" spans="1:5">
      <c r="A11" s="83"/>
      <c r="B11" s="83"/>
      <c r="C11" s="79" t="s">
        <v>116</v>
      </c>
      <c r="D11" s="82" t="str">
        <f>IF(Configuration!D101="Not Used","Not Support","1x"&amp;Configuration!D10)</f>
        <v>1x256bits</v>
      </c>
      <c r="E11" s="79" t="s">
        <v>117</v>
      </c>
    </row>
    <row r="12" spans="1:5">
      <c r="A12" s="83" t="s">
        <v>118</v>
      </c>
      <c r="B12" s="83"/>
      <c r="C12" s="79" t="s">
        <v>119</v>
      </c>
      <c r="D12" s="82" t="str">
        <f>D6+1&amp;"x32bits"</f>
        <v>2x32bits</v>
      </c>
      <c r="E12" s="79"/>
    </row>
    <row r="13" spans="1:5">
      <c r="A13" s="84" t="s">
        <v>36</v>
      </c>
      <c r="B13" s="85" t="s">
        <v>120</v>
      </c>
      <c r="C13" s="85"/>
      <c r="D13" s="82">
        <f>Configuration!D7</f>
        <v>2</v>
      </c>
      <c r="E13" s="79"/>
    </row>
    <row r="14" spans="1:5">
      <c r="A14" s="86"/>
      <c r="B14" s="87" t="s">
        <v>55</v>
      </c>
      <c r="C14" s="88" t="s">
        <v>121</v>
      </c>
      <c r="D14" s="89" t="str">
        <f>Configuration!D14</f>
        <v>Video</v>
      </c>
      <c r="E14" s="79"/>
    </row>
    <row r="15" spans="1:5">
      <c r="A15" s="86"/>
      <c r="B15" s="87"/>
      <c r="C15" s="79" t="s">
        <v>122</v>
      </c>
      <c r="D15" s="89" t="str">
        <f>IF(Configuration!D14="Not Used","",IF(Configuration!D14="Video","YUV+RGB format;",IF(Configuration!D14="Graphic","RGB format only;",IF(Configuration!D14="Simple","Linear YUV+RGB format;","ARGB8"))))</f>
        <v>YUV+RGB format;</v>
      </c>
      <c r="E15" s="79"/>
    </row>
    <row r="16" spans="1:5">
      <c r="A16" s="86"/>
      <c r="B16" s="87"/>
      <c r="C16" s="79" t="s">
        <v>93</v>
      </c>
      <c r="D16" s="89" t="str">
        <f>IF(Configuration!D14="Not Used","",IF(OR(Configuration!D14="Simple",Configuration!D14="Cursor"),"Linear","Tile&amp;Linear"))</f>
        <v>Tile&amp;Linear</v>
      </c>
      <c r="E16" s="79"/>
    </row>
    <row r="17" spans="1:5">
      <c r="A17" s="86"/>
      <c r="B17" s="87"/>
      <c r="C17" s="79" t="s">
        <v>110</v>
      </c>
      <c r="D17" s="89" t="str">
        <f>Configuration!D15</f>
        <v>Support</v>
      </c>
      <c r="E17" s="79"/>
    </row>
    <row r="18" spans="1:5">
      <c r="A18" s="86"/>
      <c r="B18" s="87"/>
      <c r="C18" s="79" t="s">
        <v>123</v>
      </c>
      <c r="D18" s="89" t="str">
        <f>IF(Configuration!D14="Not Used","",IF(Configuration!D14="Cursor","256x256","4096x2160"))</f>
        <v>4096x2160</v>
      </c>
      <c r="E18" s="79"/>
    </row>
    <row r="19" spans="1:5">
      <c r="A19" s="86"/>
      <c r="B19" s="87"/>
      <c r="C19" s="79" t="s">
        <v>124</v>
      </c>
      <c r="D19" s="89" t="str">
        <f>IF(Configuration!D14="Not Used","",IF(OR(Configuration!D14="Video"),"Support","Not Support"))</f>
        <v>Support</v>
      </c>
      <c r="E19" s="79" t="s">
        <v>125</v>
      </c>
    </row>
    <row r="20" spans="1:5">
      <c r="A20" s="86"/>
      <c r="B20" s="87"/>
      <c r="C20" s="79" t="s">
        <v>126</v>
      </c>
      <c r="D20" s="89" t="str">
        <f>IF(Configuration!D14="Not Used","",IF(Configuration!D14="Cursor","Not Support","Support"))</f>
        <v>Support</v>
      </c>
      <c r="E20" s="79" t="s">
        <v>127</v>
      </c>
    </row>
    <row r="21" spans="1:5">
      <c r="A21" s="86"/>
      <c r="B21" s="87"/>
      <c r="C21" s="79" t="s">
        <v>128</v>
      </c>
      <c r="D21" s="89" t="str">
        <f>IF(Configuration!D14="Not Used","","Support")</f>
        <v>Support</v>
      </c>
      <c r="E21" s="79"/>
    </row>
    <row r="22" spans="1:5">
      <c r="A22" s="86"/>
      <c r="B22" s="87"/>
      <c r="C22" s="79" t="s">
        <v>129</v>
      </c>
      <c r="D22" s="89" t="str">
        <f>IF(Configuration!D14="Not Used","","Support")</f>
        <v>Support</v>
      </c>
      <c r="E22" s="79"/>
    </row>
    <row r="23" spans="1:5">
      <c r="A23" s="86"/>
      <c r="B23" s="87"/>
      <c r="C23" s="79" t="s">
        <v>130</v>
      </c>
      <c r="D23" s="89" t="str">
        <f>IF(Configuration!D14="Not Used","","Support")</f>
        <v>Support</v>
      </c>
      <c r="E23" s="79"/>
    </row>
    <row r="24" spans="1:5">
      <c r="A24" s="86"/>
      <c r="B24" s="87"/>
      <c r="C24" s="79" t="s">
        <v>61</v>
      </c>
      <c r="D24" s="89" t="str">
        <f>Configuration!D17</f>
        <v>Not Support</v>
      </c>
      <c r="E24" s="90" t="s">
        <v>131</v>
      </c>
    </row>
    <row r="25" spans="1:5">
      <c r="A25" s="86"/>
      <c r="B25" s="87"/>
      <c r="C25" s="79" t="s">
        <v>59</v>
      </c>
      <c r="D25" s="89" t="str">
        <f>Configuration!D16</f>
        <v>Not Support</v>
      </c>
      <c r="E25" s="85"/>
    </row>
    <row r="26" spans="1:5">
      <c r="A26" s="86"/>
      <c r="B26" s="87"/>
      <c r="C26" s="79" t="s">
        <v>132</v>
      </c>
      <c r="D26" s="89" t="str">
        <f>IF(Configuration!D14="Not Used","",IF(OR(Configuration!D14="Video",Configuration!D14="Simple"),"Support","Not Support"))</f>
        <v>Support</v>
      </c>
      <c r="E26" s="79"/>
    </row>
    <row r="27" spans="1:5">
      <c r="A27" s="86"/>
      <c r="B27" s="87"/>
      <c r="C27" s="79" t="s">
        <v>133</v>
      </c>
      <c r="D27" s="89" t="str">
        <f>IF(Configuration!D14="Not Used","","Support")</f>
        <v>Support</v>
      </c>
      <c r="E27" s="79"/>
    </row>
    <row r="28" spans="1:5">
      <c r="A28" s="86"/>
      <c r="B28" s="91" t="s">
        <v>63</v>
      </c>
      <c r="C28" s="79" t="s">
        <v>121</v>
      </c>
      <c r="D28" s="89" t="str">
        <f>Configuration!D18</f>
        <v>Video</v>
      </c>
      <c r="E28" s="79"/>
    </row>
    <row r="29" spans="1:5">
      <c r="A29" s="86"/>
      <c r="B29" s="91"/>
      <c r="C29" s="79" t="s">
        <v>122</v>
      </c>
      <c r="D29" s="89" t="str">
        <f>IF(Configuration!D18="Not Used","",IF(Configuration!D18="Video","YUV+RGB format;",IF(Configuration!D18="Graphic","RGB format only;",IF(Configuration!D18="Simple","Linear YUV+RGB format;","ARGB8"))))</f>
        <v>YUV+RGB format;</v>
      </c>
      <c r="E29" s="79"/>
    </row>
    <row r="30" spans="1:5">
      <c r="A30" s="86"/>
      <c r="B30" s="91"/>
      <c r="C30" s="79" t="s">
        <v>93</v>
      </c>
      <c r="D30" s="89" t="str">
        <f>IF(Configuration!D18="Not Used","",IF(OR(Configuration!D18="Simple",Configuration!D18="Cursor"),"Linear","Tile&amp;Linear"))</f>
        <v>Tile&amp;Linear</v>
      </c>
      <c r="E30" s="79"/>
    </row>
    <row r="31" spans="1:5">
      <c r="A31" s="86"/>
      <c r="B31" s="91"/>
      <c r="C31" s="79" t="s">
        <v>110</v>
      </c>
      <c r="D31" s="89" t="str">
        <f>Configuration!D19</f>
        <v>Support</v>
      </c>
      <c r="E31" s="79"/>
    </row>
    <row r="32" spans="1:5">
      <c r="A32" s="86"/>
      <c r="B32" s="91"/>
      <c r="C32" s="79" t="s">
        <v>123</v>
      </c>
      <c r="D32" s="89" t="str">
        <f>IF(Configuration!D18="Not Used","",IF(Configuration!D18="Cursor","256x256","4096x2160"))</f>
        <v>4096x2160</v>
      </c>
      <c r="E32" s="79"/>
    </row>
    <row r="33" spans="1:5">
      <c r="A33" s="86"/>
      <c r="B33" s="91"/>
      <c r="C33" s="79" t="s">
        <v>124</v>
      </c>
      <c r="D33" s="89" t="str">
        <f>IF(Configuration!D18="Not Used","",IF(OR(Configuration!D18="Video"),"Support","Not Support"))</f>
        <v>Support</v>
      </c>
      <c r="E33" s="79" t="s">
        <v>125</v>
      </c>
    </row>
    <row r="34" spans="1:5">
      <c r="A34" s="86"/>
      <c r="B34" s="91"/>
      <c r="C34" s="79" t="s">
        <v>126</v>
      </c>
      <c r="D34" s="89" t="str">
        <f>IF(Configuration!D18="Not Used","",IF(Configuration!D18="Cursor","Not Support","Support"))</f>
        <v>Support</v>
      </c>
      <c r="E34" s="79" t="s">
        <v>127</v>
      </c>
    </row>
    <row r="35" spans="1:5">
      <c r="A35" s="86"/>
      <c r="B35" s="91"/>
      <c r="C35" s="79" t="s">
        <v>128</v>
      </c>
      <c r="D35" s="89" t="str">
        <f>IF(Configuration!D18="Not Used","","Support")</f>
        <v>Support</v>
      </c>
      <c r="E35" s="79"/>
    </row>
    <row r="36" spans="1:5">
      <c r="A36" s="86"/>
      <c r="B36" s="91"/>
      <c r="C36" s="79" t="s">
        <v>129</v>
      </c>
      <c r="D36" s="89" t="str">
        <f>IF(Configuration!D18="Not Used","","Support")</f>
        <v>Support</v>
      </c>
      <c r="E36" s="79"/>
    </row>
    <row r="37" spans="1:5">
      <c r="A37" s="86"/>
      <c r="B37" s="91"/>
      <c r="C37" s="79" t="s">
        <v>130</v>
      </c>
      <c r="D37" s="89" t="str">
        <f>IF(Configuration!D18="Not Used","","Support")</f>
        <v>Support</v>
      </c>
      <c r="E37" s="79"/>
    </row>
    <row r="38" spans="1:5">
      <c r="A38" s="86"/>
      <c r="B38" s="91"/>
      <c r="C38" s="79" t="s">
        <v>61</v>
      </c>
      <c r="D38" s="89" t="str">
        <f>Configuration!D21</f>
        <v>Not Support</v>
      </c>
      <c r="E38" s="90" t="s">
        <v>131</v>
      </c>
    </row>
    <row r="39" spans="1:5">
      <c r="A39" s="86"/>
      <c r="B39" s="91"/>
      <c r="C39" s="79" t="s">
        <v>59</v>
      </c>
      <c r="D39" s="89" t="str">
        <f>Configuration!D20</f>
        <v>Not Support</v>
      </c>
      <c r="E39" s="85"/>
    </row>
    <row r="40" spans="1:5">
      <c r="A40" s="86"/>
      <c r="B40" s="91"/>
      <c r="C40" s="79" t="s">
        <v>132</v>
      </c>
      <c r="D40" s="89" t="str">
        <f>IF(Configuration!D18="Not Used","",IF(OR(Configuration!D18="Video",Configuration!D18="Simple"),"Support","Not Support"))</f>
        <v>Support</v>
      </c>
      <c r="E40" s="79"/>
    </row>
    <row r="41" spans="1:5">
      <c r="A41" s="86"/>
      <c r="B41" s="91"/>
      <c r="C41" s="79" t="s">
        <v>133</v>
      </c>
      <c r="D41" s="89" t="str">
        <f>IF(Configuration!D18="Not Used","","Support")</f>
        <v>Support</v>
      </c>
      <c r="E41" s="79"/>
    </row>
    <row r="42" spans="1:5">
      <c r="A42" s="86"/>
      <c r="B42" s="91" t="s">
        <v>64</v>
      </c>
      <c r="C42" s="79" t="s">
        <v>121</v>
      </c>
      <c r="D42" s="89" t="str">
        <f>Configuration!D22</f>
        <v>Simple</v>
      </c>
      <c r="E42" s="79" t="s">
        <v>134</v>
      </c>
    </row>
    <row r="43" spans="1:5">
      <c r="A43" s="86"/>
      <c r="B43" s="91"/>
      <c r="C43" s="79" t="s">
        <v>122</v>
      </c>
      <c r="D43" s="89" t="str">
        <f>IF(Configuration!D22="Not Used","",IF(Configuration!D22="Video","YUV+RGB format;",IF(Configuration!D22="Graphic","RGB format only;",IF(Configuration!D22="Simple","Linear YUV+RGB format;","ARGB8"))))</f>
        <v>Linear YUV+RGB format;</v>
      </c>
      <c r="E43" s="79"/>
    </row>
    <row r="44" spans="1:5">
      <c r="A44" s="86"/>
      <c r="B44" s="91"/>
      <c r="C44" s="79" t="s">
        <v>93</v>
      </c>
      <c r="D44" s="89" t="str">
        <f>IF(Configuration!D22="Not Used","",IF(OR(Configuration!D22="Simple",Configuration!D22="Cursor"),"Linear","Tile&amp;Linear"))</f>
        <v>Linear</v>
      </c>
      <c r="E44" s="79"/>
    </row>
    <row r="45" spans="1:5">
      <c r="A45" s="86"/>
      <c r="B45" s="91"/>
      <c r="C45" s="79" t="s">
        <v>110</v>
      </c>
      <c r="D45" s="89" t="str">
        <f>Configuration!D23</f>
        <v>Not Support</v>
      </c>
      <c r="E45" s="79"/>
    </row>
    <row r="46" spans="1:5">
      <c r="A46" s="86"/>
      <c r="B46" s="91"/>
      <c r="C46" s="79" t="s">
        <v>123</v>
      </c>
      <c r="D46" s="89" t="str">
        <f>IF(Configuration!D22="Not Used","",IF(Configuration!D22="Cursor","256x256","4096x2160"))</f>
        <v>4096x2160</v>
      </c>
      <c r="E46" s="79"/>
    </row>
    <row r="47" spans="1:5">
      <c r="A47" s="86"/>
      <c r="B47" s="91"/>
      <c r="C47" s="79" t="s">
        <v>124</v>
      </c>
      <c r="D47" s="89" t="str">
        <f>IF(Configuration!D22="Not Used","",IF(OR(Configuration!D22="Video"),"Support","Not Support"))</f>
        <v>Not Support</v>
      </c>
      <c r="E47" s="79" t="s">
        <v>125</v>
      </c>
    </row>
    <row r="48" spans="1:5">
      <c r="A48" s="86"/>
      <c r="B48" s="91"/>
      <c r="C48" s="79" t="s">
        <v>126</v>
      </c>
      <c r="D48" s="89" t="str">
        <f>IF(Configuration!D22="Not Used","",IF(Configuration!D22="Cursor","Not Support","Support"))</f>
        <v>Support</v>
      </c>
      <c r="E48" s="79" t="s">
        <v>127</v>
      </c>
    </row>
    <row r="49" spans="1:5">
      <c r="A49" s="86"/>
      <c r="B49" s="91"/>
      <c r="C49" s="79" t="s">
        <v>128</v>
      </c>
      <c r="D49" s="89" t="str">
        <f>IF(Configuration!D22="Not Used","","Support")</f>
        <v>Support</v>
      </c>
      <c r="E49" s="79"/>
    </row>
    <row r="50" spans="1:5">
      <c r="A50" s="86"/>
      <c r="B50" s="91"/>
      <c r="C50" s="79" t="s">
        <v>129</v>
      </c>
      <c r="D50" s="89" t="str">
        <f>IF(Configuration!D22="Not Used","","Support")</f>
        <v>Support</v>
      </c>
      <c r="E50" s="79"/>
    </row>
    <row r="51" spans="1:5">
      <c r="A51" s="86"/>
      <c r="B51" s="91"/>
      <c r="C51" s="79" t="s">
        <v>130</v>
      </c>
      <c r="D51" s="89" t="str">
        <f>IF(Configuration!D22="Not Used","","Support")</f>
        <v>Support</v>
      </c>
      <c r="E51" s="79"/>
    </row>
    <row r="52" spans="1:5">
      <c r="A52" s="86"/>
      <c r="B52" s="91"/>
      <c r="C52" s="79" t="s">
        <v>61</v>
      </c>
      <c r="D52" s="89" t="str">
        <f>Configuration!D25</f>
        <v>Not Support</v>
      </c>
      <c r="E52" s="90" t="s">
        <v>131</v>
      </c>
    </row>
    <row r="53" spans="1:5">
      <c r="A53" s="86"/>
      <c r="B53" s="91"/>
      <c r="C53" s="79" t="s">
        <v>59</v>
      </c>
      <c r="D53" s="89" t="str">
        <f>Configuration!D24</f>
        <v>Not Support</v>
      </c>
      <c r="E53" s="85"/>
    </row>
    <row r="54" spans="1:5">
      <c r="A54" s="86"/>
      <c r="B54" s="91"/>
      <c r="C54" s="79" t="s">
        <v>132</v>
      </c>
      <c r="D54" s="89" t="str">
        <f>IF(Configuration!D22="Not Used","",IF(OR(Configuration!D22="Video",Configuration!D22="Simple"),"Support","Not Support"))</f>
        <v>Support</v>
      </c>
      <c r="E54" s="79"/>
    </row>
    <row r="55" spans="1:5">
      <c r="A55" s="86"/>
      <c r="B55" s="91"/>
      <c r="C55" s="79" t="s">
        <v>133</v>
      </c>
      <c r="D55" s="89" t="str">
        <f>IF(Configuration!D22="Not Used","","Support")</f>
        <v>Support</v>
      </c>
      <c r="E55" s="79"/>
    </row>
    <row r="56" spans="1:5">
      <c r="A56" s="86"/>
      <c r="B56" s="91" t="s">
        <v>65</v>
      </c>
      <c r="C56" s="79" t="s">
        <v>121</v>
      </c>
      <c r="D56" s="89" t="str">
        <f>Configuration!D26</f>
        <v>Simple</v>
      </c>
      <c r="E56" s="79" t="s">
        <v>134</v>
      </c>
    </row>
    <row r="57" spans="1:5">
      <c r="A57" s="86"/>
      <c r="B57" s="91"/>
      <c r="C57" s="79" t="s">
        <v>122</v>
      </c>
      <c r="D57" s="89" t="str">
        <f>IF(Configuration!D26="Not Used","",IF(Configuration!D26="Video","YUV+RGB format;",IF(Configuration!D26="Graphic","RGB format only;",IF(Configuration!D26="Simple","Linear YUV+RGB format;","ARGB8"))))</f>
        <v>Linear YUV+RGB format;</v>
      </c>
      <c r="E57" s="79"/>
    </row>
    <row r="58" spans="1:5">
      <c r="A58" s="86"/>
      <c r="B58" s="91"/>
      <c r="C58" s="79" t="s">
        <v>93</v>
      </c>
      <c r="D58" s="89" t="str">
        <f>IF(Configuration!D26="Not Used","",IF(OR(Configuration!D26="Simple",Configuration!D26="Cursor"),"Linear","Tile&amp;Linear"))</f>
        <v>Linear</v>
      </c>
      <c r="E58" s="79"/>
    </row>
    <row r="59" spans="1:5">
      <c r="A59" s="86"/>
      <c r="B59" s="91"/>
      <c r="C59" s="79" t="s">
        <v>110</v>
      </c>
      <c r="D59" s="89" t="str">
        <f>Configuration!D27</f>
        <v>Not Support</v>
      </c>
      <c r="E59" s="79"/>
    </row>
    <row r="60" spans="1:5">
      <c r="A60" s="86"/>
      <c r="B60" s="91"/>
      <c r="C60" s="79" t="s">
        <v>123</v>
      </c>
      <c r="D60" s="89" t="str">
        <f>IF(Configuration!D26="Not Used","",IF(Configuration!D26="Cursor","256x256","4096x2160"))</f>
        <v>4096x2160</v>
      </c>
      <c r="E60" s="79"/>
    </row>
    <row r="61" spans="1:5">
      <c r="A61" s="86"/>
      <c r="B61" s="91"/>
      <c r="C61" s="79" t="s">
        <v>124</v>
      </c>
      <c r="D61" s="89" t="str">
        <f>IF(Configuration!D26="Not Used","",IF(OR(Configuration!D26="Video"),"Support","Not Support"))</f>
        <v>Not Support</v>
      </c>
      <c r="E61" s="79" t="s">
        <v>125</v>
      </c>
    </row>
    <row r="62" spans="1:5">
      <c r="A62" s="86"/>
      <c r="B62" s="91"/>
      <c r="C62" s="79" t="s">
        <v>126</v>
      </c>
      <c r="D62" s="89" t="str">
        <f>IF(Configuration!D26="Not Used","",IF(Configuration!D26="Cursor","Not Support","Support"))</f>
        <v>Support</v>
      </c>
      <c r="E62" s="79" t="s">
        <v>127</v>
      </c>
    </row>
    <row r="63" spans="1:5">
      <c r="A63" s="86"/>
      <c r="B63" s="91"/>
      <c r="C63" s="79" t="s">
        <v>128</v>
      </c>
      <c r="D63" s="89" t="str">
        <f>IF(Configuration!D26="Not Used","","Support")</f>
        <v>Support</v>
      </c>
      <c r="E63" s="79"/>
    </row>
    <row r="64" spans="1:5">
      <c r="A64" s="86"/>
      <c r="B64" s="91"/>
      <c r="C64" s="79" t="s">
        <v>129</v>
      </c>
      <c r="D64" s="89" t="str">
        <f>IF(Configuration!D26="Not Used","","Support")</f>
        <v>Support</v>
      </c>
      <c r="E64" s="79"/>
    </row>
    <row r="65" spans="1:5">
      <c r="A65" s="86"/>
      <c r="B65" s="91"/>
      <c r="C65" s="79" t="s">
        <v>130</v>
      </c>
      <c r="D65" s="89" t="str">
        <f>IF(Configuration!D26="Not Used","","Support")</f>
        <v>Support</v>
      </c>
      <c r="E65" s="79"/>
    </row>
    <row r="66" spans="1:5">
      <c r="A66" s="86"/>
      <c r="B66" s="91"/>
      <c r="C66" s="79" t="s">
        <v>61</v>
      </c>
      <c r="D66" s="89" t="str">
        <f>Configuration!D29</f>
        <v>Not Support</v>
      </c>
      <c r="E66" s="90" t="s">
        <v>131</v>
      </c>
    </row>
    <row r="67" spans="1:5">
      <c r="A67" s="86"/>
      <c r="B67" s="91"/>
      <c r="C67" s="79" t="s">
        <v>59</v>
      </c>
      <c r="D67" s="89" t="str">
        <f>Configuration!D28</f>
        <v>Not Support</v>
      </c>
      <c r="E67" s="85"/>
    </row>
    <row r="68" spans="1:5">
      <c r="A68" s="86"/>
      <c r="B68" s="91"/>
      <c r="C68" s="79" t="s">
        <v>132</v>
      </c>
      <c r="D68" s="89" t="str">
        <f>IF(Configuration!D26="Not Used","",IF(OR(Configuration!D26="Video",Configuration!D26="Simple"),"Support","Not Support"))</f>
        <v>Support</v>
      </c>
      <c r="E68" s="79"/>
    </row>
    <row r="69" spans="1:5">
      <c r="A69" s="86"/>
      <c r="B69" s="91"/>
      <c r="C69" s="79" t="s">
        <v>133</v>
      </c>
      <c r="D69" s="89" t="str">
        <f>IF(Configuration!D26="Not Used","","Support")</f>
        <v>Support</v>
      </c>
      <c r="E69" s="79"/>
    </row>
    <row r="70" spans="1:5">
      <c r="A70" s="86"/>
      <c r="B70" s="91" t="s">
        <v>66</v>
      </c>
      <c r="C70" s="79" t="s">
        <v>121</v>
      </c>
      <c r="D70" s="89" t="str">
        <f>Configuration!D30</f>
        <v>Not Used</v>
      </c>
      <c r="E70" s="79"/>
    </row>
    <row r="71" spans="1:5">
      <c r="A71" s="86"/>
      <c r="B71" s="91"/>
      <c r="C71" s="79" t="s">
        <v>122</v>
      </c>
      <c r="D71" s="89" t="str">
        <f>IF(Configuration!D30="Not Used","",IF(Configuration!D30="Video","YUV+RGB format;",IF(Configuration!D30="Graphic","RGB format only;",IF(Configuration!D30="Simple","Linear YUV+RGB format;","ARGB8"))))</f>
        <v/>
      </c>
      <c r="E71" s="79"/>
    </row>
    <row r="72" spans="1:5">
      <c r="A72" s="86"/>
      <c r="B72" s="91"/>
      <c r="C72" s="79" t="s">
        <v>93</v>
      </c>
      <c r="D72" s="89" t="str">
        <f>IF(Configuration!D30="Not Used","",IF(OR(Configuration!D30="Simple",Configuration!D30="Cursor"),"Linear","Tile&amp;Linear"))</f>
        <v/>
      </c>
      <c r="E72" s="79"/>
    </row>
    <row r="73" spans="1:5">
      <c r="A73" s="86"/>
      <c r="B73" s="91"/>
      <c r="C73" s="79" t="s">
        <v>110</v>
      </c>
      <c r="D73" s="89" t="str">
        <f>Configuration!D31</f>
        <v>Not Support</v>
      </c>
      <c r="E73" s="79"/>
    </row>
    <row r="74" spans="1:5">
      <c r="A74" s="86"/>
      <c r="B74" s="91"/>
      <c r="C74" s="79" t="s">
        <v>123</v>
      </c>
      <c r="D74" s="89" t="str">
        <f>IF(Configuration!D30="Not Used","",IF(Configuration!D30="Cursor","256x256","4096x2160"))</f>
        <v/>
      </c>
      <c r="E74" s="79"/>
    </row>
    <row r="75" spans="1:5">
      <c r="A75" s="86"/>
      <c r="B75" s="91"/>
      <c r="C75" s="79" t="s">
        <v>124</v>
      </c>
      <c r="D75" s="89" t="str">
        <f>IF(Configuration!D30="Not Used","",IF(OR(Configuration!D30="Video"),"Support","Not Support"))</f>
        <v/>
      </c>
      <c r="E75" s="79" t="s">
        <v>125</v>
      </c>
    </row>
    <row r="76" spans="1:5">
      <c r="A76" s="86"/>
      <c r="B76" s="91"/>
      <c r="C76" s="79" t="s">
        <v>126</v>
      </c>
      <c r="D76" s="89" t="str">
        <f>IF(Configuration!D30="Not Used","",IF(Configuration!D30="Cursor","Not Support","Support"))</f>
        <v/>
      </c>
      <c r="E76" s="79" t="s">
        <v>127</v>
      </c>
    </row>
    <row r="77" spans="1:5">
      <c r="A77" s="86"/>
      <c r="B77" s="91"/>
      <c r="C77" s="79" t="s">
        <v>128</v>
      </c>
      <c r="D77" s="89" t="str">
        <f>IF(Configuration!D30="Not Used","","Support")</f>
        <v/>
      </c>
      <c r="E77" s="79"/>
    </row>
    <row r="78" spans="1:5">
      <c r="A78" s="86"/>
      <c r="B78" s="91"/>
      <c r="C78" s="79" t="s">
        <v>129</v>
      </c>
      <c r="D78" s="89" t="str">
        <f>IF(Configuration!D30="Not Used","","Support")</f>
        <v/>
      </c>
      <c r="E78" s="79"/>
    </row>
    <row r="79" spans="1:5">
      <c r="A79" s="86"/>
      <c r="B79" s="91"/>
      <c r="C79" s="79" t="s">
        <v>130</v>
      </c>
      <c r="D79" s="89" t="str">
        <f>IF(Configuration!D30="Not Used","","Support")</f>
        <v/>
      </c>
      <c r="E79" s="79"/>
    </row>
    <row r="80" spans="1:5">
      <c r="A80" s="86"/>
      <c r="B80" s="91"/>
      <c r="C80" s="79" t="s">
        <v>61</v>
      </c>
      <c r="D80" s="89" t="str">
        <f>Configuration!D33</f>
        <v>Not Support</v>
      </c>
      <c r="E80" s="90" t="s">
        <v>131</v>
      </c>
    </row>
    <row r="81" spans="1:5">
      <c r="A81" s="86"/>
      <c r="B81" s="91"/>
      <c r="C81" s="79" t="s">
        <v>59</v>
      </c>
      <c r="D81" s="89" t="str">
        <f>Configuration!D32</f>
        <v>Not Support</v>
      </c>
      <c r="E81" s="85"/>
    </row>
    <row r="82" spans="1:5">
      <c r="A82" s="86"/>
      <c r="B82" s="91"/>
      <c r="C82" s="79" t="s">
        <v>132</v>
      </c>
      <c r="D82" s="89" t="str">
        <f>IF(Configuration!D30="Not Used","",IF(OR(Configuration!D30="Video",Configuration!D30="Simple"),"Support","Not Support"))</f>
        <v/>
      </c>
      <c r="E82" s="79"/>
    </row>
    <row r="83" spans="1:5">
      <c r="A83" s="86"/>
      <c r="B83" s="91"/>
      <c r="C83" s="79" t="s">
        <v>133</v>
      </c>
      <c r="D83" s="89" t="str">
        <f>IF(Configuration!D30="Not Used","","Support")</f>
        <v/>
      </c>
      <c r="E83" s="79"/>
    </row>
    <row r="84" spans="1:5">
      <c r="A84" s="86"/>
      <c r="B84" s="91" t="s">
        <v>67</v>
      </c>
      <c r="C84" s="79" t="s">
        <v>121</v>
      </c>
      <c r="D84" s="89" t="str">
        <f>Configuration!D34</f>
        <v>Not Used</v>
      </c>
      <c r="E84" s="79"/>
    </row>
    <row r="85" spans="1:5">
      <c r="A85" s="86"/>
      <c r="B85" s="91"/>
      <c r="C85" s="79" t="s">
        <v>122</v>
      </c>
      <c r="D85" s="89" t="str">
        <f>IF(Configuration!D34="Not Used","",IF(Configuration!D34="Video","YUV+RGB format;",IF(Configuration!D34="Graphic","RGB format only;",IF(Configuration!D34="Simple","Linear YUV+RGB format;","ARGB8"))))</f>
        <v/>
      </c>
      <c r="E85" s="79"/>
    </row>
    <row r="86" spans="1:5">
      <c r="A86" s="86"/>
      <c r="B86" s="91"/>
      <c r="C86" s="79" t="s">
        <v>93</v>
      </c>
      <c r="D86" s="89" t="str">
        <f>IF(Configuration!D34="Not Used","",IF(OR(Configuration!D34="Simple",Configuration!D34="Cursor"),"Linear","Tile&amp;Linear"))</f>
        <v/>
      </c>
      <c r="E86" s="79"/>
    </row>
    <row r="87" spans="1:5">
      <c r="A87" s="86"/>
      <c r="B87" s="91"/>
      <c r="C87" s="79" t="s">
        <v>110</v>
      </c>
      <c r="D87" s="89" t="str">
        <f>Configuration!D35</f>
        <v>Not Support</v>
      </c>
      <c r="E87" s="79"/>
    </row>
    <row r="88" spans="1:5">
      <c r="A88" s="86"/>
      <c r="B88" s="91"/>
      <c r="C88" s="79" t="s">
        <v>123</v>
      </c>
      <c r="D88" s="89" t="str">
        <f>IF(Configuration!D34="Not Used","",IF(Configuration!D34="Cursor","256x256","4096x2160"))</f>
        <v/>
      </c>
      <c r="E88" s="79"/>
    </row>
    <row r="89" spans="1:5">
      <c r="A89" s="86"/>
      <c r="B89" s="91"/>
      <c r="C89" s="79" t="s">
        <v>124</v>
      </c>
      <c r="D89" s="89" t="str">
        <f>IF(Configuration!D34="Not Used","",IF(OR(Configuration!D34="Video"),"Support","Not Support"))</f>
        <v/>
      </c>
      <c r="E89" s="79" t="s">
        <v>125</v>
      </c>
    </row>
    <row r="90" spans="1:5">
      <c r="A90" s="86"/>
      <c r="B90" s="91"/>
      <c r="C90" s="79" t="s">
        <v>126</v>
      </c>
      <c r="D90" s="89" t="str">
        <f>IF(Configuration!D34="Not Used","",IF(Configuration!D34="Cursor","Not Support","Support"))</f>
        <v/>
      </c>
      <c r="E90" s="79" t="s">
        <v>127</v>
      </c>
    </row>
    <row r="91" spans="1:5">
      <c r="A91" s="86"/>
      <c r="B91" s="91"/>
      <c r="C91" s="79" t="s">
        <v>128</v>
      </c>
      <c r="D91" s="89" t="str">
        <f>IF(Configuration!D34="Not Used","","Support")</f>
        <v/>
      </c>
      <c r="E91" s="79"/>
    </row>
    <row r="92" spans="1:5">
      <c r="A92" s="86"/>
      <c r="B92" s="91"/>
      <c r="C92" s="79" t="s">
        <v>129</v>
      </c>
      <c r="D92" s="89" t="str">
        <f>IF(Configuration!D34="Not Used","","Support")</f>
        <v/>
      </c>
      <c r="E92" s="79"/>
    </row>
    <row r="93" spans="1:5">
      <c r="A93" s="86"/>
      <c r="B93" s="91"/>
      <c r="C93" s="79" t="s">
        <v>130</v>
      </c>
      <c r="D93" s="89" t="str">
        <f>IF(Configuration!D34="Not Used","","Support")</f>
        <v/>
      </c>
      <c r="E93" s="79"/>
    </row>
    <row r="94" spans="1:5">
      <c r="A94" s="86"/>
      <c r="B94" s="91"/>
      <c r="C94" s="79" t="s">
        <v>61</v>
      </c>
      <c r="D94" s="89" t="str">
        <f>Configuration!D37</f>
        <v>Not Support</v>
      </c>
      <c r="E94" s="90" t="s">
        <v>131</v>
      </c>
    </row>
    <row r="95" spans="1:5">
      <c r="A95" s="86"/>
      <c r="B95" s="91"/>
      <c r="C95" s="79" t="s">
        <v>59</v>
      </c>
      <c r="D95" s="89" t="str">
        <f>Configuration!D36</f>
        <v>Not Support</v>
      </c>
      <c r="E95" s="85"/>
    </row>
    <row r="96" spans="1:5">
      <c r="A96" s="86"/>
      <c r="B96" s="91"/>
      <c r="C96" s="79" t="s">
        <v>132</v>
      </c>
      <c r="D96" s="89" t="str">
        <f>IF(Configuration!D34="Not Used","",IF(OR(Configuration!D34="Video",Configuration!D34="Simple"),"Support","Not Support"))</f>
        <v/>
      </c>
      <c r="E96" s="79"/>
    </row>
    <row r="97" spans="1:5">
      <c r="A97" s="86"/>
      <c r="B97" s="91"/>
      <c r="C97" s="79" t="s">
        <v>133</v>
      </c>
      <c r="D97" s="89" t="str">
        <f>IF(Configuration!D34="Not Used","","Support")</f>
        <v/>
      </c>
      <c r="E97" s="79"/>
    </row>
    <row r="98" spans="1:5">
      <c r="A98" s="86"/>
      <c r="B98" s="91" t="s">
        <v>68</v>
      </c>
      <c r="C98" s="79" t="s">
        <v>121</v>
      </c>
      <c r="D98" s="89" t="str">
        <f>Configuration!D38</f>
        <v>Not Used</v>
      </c>
      <c r="E98" s="79"/>
    </row>
    <row r="99" spans="1:5">
      <c r="A99" s="86"/>
      <c r="B99" s="91"/>
      <c r="C99" s="79" t="s">
        <v>122</v>
      </c>
      <c r="D99" s="89" t="str">
        <f>IF(Configuration!D38="Not Used","",IF(Configuration!D38="Video","YUV+RGB format;",IF(Configuration!D38="Graphic","RGB format only;",IF(Configuration!D38="Simple","Linear YUV+RGB format;","ARGB8"))))</f>
        <v/>
      </c>
      <c r="E99" s="79"/>
    </row>
    <row r="100" spans="1:5">
      <c r="A100" s="86"/>
      <c r="B100" s="91"/>
      <c r="C100" s="79" t="s">
        <v>93</v>
      </c>
      <c r="D100" s="89" t="str">
        <f>IF(Configuration!D38="Not Used","",IF(OR(Configuration!D38="Simple",Configuration!D38="Cursor"),"Linear","Tile&amp;Linear"))</f>
        <v/>
      </c>
      <c r="E100" s="79"/>
    </row>
    <row r="101" spans="1:5">
      <c r="A101" s="86"/>
      <c r="B101" s="91"/>
      <c r="C101" s="79" t="s">
        <v>110</v>
      </c>
      <c r="D101" s="89" t="str">
        <f>Configuration!D39</f>
        <v>Not Support</v>
      </c>
      <c r="E101" s="79"/>
    </row>
    <row r="102" spans="1:5">
      <c r="A102" s="86"/>
      <c r="B102" s="91"/>
      <c r="C102" s="79" t="s">
        <v>123</v>
      </c>
      <c r="D102" s="89" t="str">
        <f>IF(Configuration!D38="Not Used","",IF(Configuration!D38="Cursor","256x256","4096x2160"))</f>
        <v/>
      </c>
      <c r="E102" s="79"/>
    </row>
    <row r="103" spans="1:5">
      <c r="A103" s="86"/>
      <c r="B103" s="91"/>
      <c r="C103" s="79" t="s">
        <v>124</v>
      </c>
      <c r="D103" s="89" t="str">
        <f>IF(Configuration!D38="Not Used","",IF(OR(Configuration!D38="Video"),"Support","Not Support"))</f>
        <v/>
      </c>
      <c r="E103" s="79" t="s">
        <v>125</v>
      </c>
    </row>
    <row r="104" spans="1:5">
      <c r="A104" s="86"/>
      <c r="B104" s="91"/>
      <c r="C104" s="79" t="s">
        <v>126</v>
      </c>
      <c r="D104" s="89" t="str">
        <f>IF(Configuration!D38="Not Used","",IF(Configuration!D38="Cursor","Not Support","Support"))</f>
        <v/>
      </c>
      <c r="E104" s="79" t="s">
        <v>127</v>
      </c>
    </row>
    <row r="105" spans="1:5">
      <c r="A105" s="86"/>
      <c r="B105" s="91"/>
      <c r="C105" s="79" t="s">
        <v>128</v>
      </c>
      <c r="D105" s="89" t="str">
        <f>IF(Configuration!D38="Not Used","","Support")</f>
        <v/>
      </c>
      <c r="E105" s="79"/>
    </row>
    <row r="106" spans="1:5">
      <c r="A106" s="86"/>
      <c r="B106" s="91"/>
      <c r="C106" s="79" t="s">
        <v>129</v>
      </c>
      <c r="D106" s="89" t="str">
        <f>IF(Configuration!D38="Not Used","","Support")</f>
        <v/>
      </c>
      <c r="E106" s="79"/>
    </row>
    <row r="107" spans="1:5">
      <c r="A107" s="86"/>
      <c r="B107" s="91"/>
      <c r="C107" s="79" t="s">
        <v>130</v>
      </c>
      <c r="D107" s="89" t="str">
        <f>IF(Configuration!D38="Not Used","","Support")</f>
        <v/>
      </c>
      <c r="E107" s="79"/>
    </row>
    <row r="108" spans="1:5">
      <c r="A108" s="86"/>
      <c r="B108" s="91"/>
      <c r="C108" s="79" t="s">
        <v>61</v>
      </c>
      <c r="D108" s="89" t="str">
        <f>Configuration!D41</f>
        <v>Not Support</v>
      </c>
      <c r="E108" s="90" t="s">
        <v>131</v>
      </c>
    </row>
    <row r="109" spans="1:5">
      <c r="A109" s="86"/>
      <c r="B109" s="91"/>
      <c r="C109" s="79" t="s">
        <v>59</v>
      </c>
      <c r="D109" s="89" t="str">
        <f>Configuration!D40</f>
        <v>Not Support</v>
      </c>
      <c r="E109" s="85"/>
    </row>
    <row r="110" spans="1:5">
      <c r="A110" s="86"/>
      <c r="B110" s="91"/>
      <c r="C110" s="79" t="s">
        <v>132</v>
      </c>
      <c r="D110" s="89" t="str">
        <f>IF(Configuration!D38="Not Used","",IF(OR(Configuration!D38="Video",Configuration!D38="Simple"),"Support","Not Support"))</f>
        <v/>
      </c>
      <c r="E110" s="79"/>
    </row>
    <row r="111" spans="1:5">
      <c r="A111" s="86"/>
      <c r="B111" s="91"/>
      <c r="C111" s="79" t="s">
        <v>133</v>
      </c>
      <c r="D111" s="89" t="str">
        <f>IF(Configuration!D38="Not Used","","Support")</f>
        <v/>
      </c>
      <c r="E111" s="79"/>
    </row>
    <row r="112" spans="1:5">
      <c r="A112" s="86"/>
      <c r="B112" s="91" t="s">
        <v>69</v>
      </c>
      <c r="C112" s="79" t="s">
        <v>121</v>
      </c>
      <c r="D112" s="89" t="str">
        <f>Configuration!D42</f>
        <v>Not Used</v>
      </c>
      <c r="E112" s="79"/>
    </row>
    <row r="113" spans="1:5">
      <c r="A113" s="86"/>
      <c r="B113" s="91"/>
      <c r="C113" s="79" t="s">
        <v>122</v>
      </c>
      <c r="D113" s="89" t="str">
        <f>IF(Configuration!D42="Not Used","",IF(Configuration!D42="Video","YUV+RGB format;",IF(Configuration!D42="Graphic","RGB format only;",IF(Configuration!D42="Simple","Linear YUV+RGB format;","ARGB8"))))</f>
        <v/>
      </c>
      <c r="E113" s="79"/>
    </row>
    <row r="114" spans="1:5">
      <c r="A114" s="86"/>
      <c r="B114" s="91"/>
      <c r="C114" s="79" t="s">
        <v>93</v>
      </c>
      <c r="D114" s="89" t="str">
        <f>IF(Configuration!D42="Not Used","",IF(OR(Configuration!D42="Simple",Configuration!D42="Cursor"),"Linear","Tile&amp;Linear"))</f>
        <v/>
      </c>
      <c r="E114" s="79"/>
    </row>
    <row r="115" spans="1:5">
      <c r="A115" s="86"/>
      <c r="B115" s="91"/>
      <c r="C115" s="79" t="s">
        <v>110</v>
      </c>
      <c r="D115" s="89" t="str">
        <f>Configuration!D43</f>
        <v>Not Support</v>
      </c>
      <c r="E115" s="79"/>
    </row>
    <row r="116" spans="1:5">
      <c r="A116" s="86"/>
      <c r="B116" s="91"/>
      <c r="C116" s="79" t="s">
        <v>123</v>
      </c>
      <c r="D116" s="89" t="str">
        <f>IF(Configuration!D42="Not Used","",IF(Configuration!D42="Cursor","256x256","4096x2160"))</f>
        <v/>
      </c>
      <c r="E116" s="79"/>
    </row>
    <row r="117" spans="1:5">
      <c r="A117" s="86"/>
      <c r="B117" s="91"/>
      <c r="C117" s="79" t="s">
        <v>124</v>
      </c>
      <c r="D117" s="89" t="str">
        <f>IF(Configuration!D42="Not Used","",IF(OR(Configuration!D42="Video"),"Support","Not Support"))</f>
        <v/>
      </c>
      <c r="E117" s="79" t="s">
        <v>125</v>
      </c>
    </row>
    <row r="118" spans="1:5">
      <c r="A118" s="86"/>
      <c r="B118" s="91"/>
      <c r="C118" s="79" t="s">
        <v>126</v>
      </c>
      <c r="D118" s="89" t="str">
        <f>IF(Configuration!D42="Not Used","",IF(Configuration!D42="Cursor","Not Support","Support"))</f>
        <v/>
      </c>
      <c r="E118" s="79" t="s">
        <v>127</v>
      </c>
    </row>
    <row r="119" spans="1:5">
      <c r="A119" s="86"/>
      <c r="B119" s="91"/>
      <c r="C119" s="79" t="s">
        <v>128</v>
      </c>
      <c r="D119" s="89" t="str">
        <f>IF(Configuration!D42="Not Used","","Support")</f>
        <v/>
      </c>
      <c r="E119" s="79"/>
    </row>
    <row r="120" spans="1:5">
      <c r="A120" s="86"/>
      <c r="B120" s="91"/>
      <c r="C120" s="79" t="s">
        <v>129</v>
      </c>
      <c r="D120" s="89" t="str">
        <f>IF(Configuration!D42="Not Used","","Support")</f>
        <v/>
      </c>
      <c r="E120" s="79"/>
    </row>
    <row r="121" spans="1:5">
      <c r="A121" s="86"/>
      <c r="B121" s="91"/>
      <c r="C121" s="79" t="s">
        <v>130</v>
      </c>
      <c r="D121" s="89" t="str">
        <f>IF(Configuration!D42="Not Used","","Support")</f>
        <v/>
      </c>
      <c r="E121" s="79"/>
    </row>
    <row r="122" spans="1:5">
      <c r="A122" s="86"/>
      <c r="B122" s="91"/>
      <c r="C122" s="79" t="s">
        <v>61</v>
      </c>
      <c r="D122" s="89" t="str">
        <f>Configuration!D45</f>
        <v>Not Support</v>
      </c>
      <c r="E122" s="90" t="s">
        <v>131</v>
      </c>
    </row>
    <row r="123" spans="1:5">
      <c r="A123" s="86"/>
      <c r="B123" s="91"/>
      <c r="C123" s="79" t="s">
        <v>59</v>
      </c>
      <c r="D123" s="89" t="str">
        <f>Configuration!D44</f>
        <v>Not Support</v>
      </c>
      <c r="E123" s="85"/>
    </row>
    <row r="124" spans="1:5">
      <c r="A124" s="86"/>
      <c r="B124" s="91"/>
      <c r="C124" s="79" t="s">
        <v>132</v>
      </c>
      <c r="D124" s="89" t="str">
        <f>IF(Configuration!D42="Not Used","",IF(OR(Configuration!D42="Video",Configuration!D42="Simple"),"Support","Not Support"))</f>
        <v/>
      </c>
      <c r="E124" s="79"/>
    </row>
    <row r="125" spans="1:5">
      <c r="A125" s="86"/>
      <c r="B125" s="91"/>
      <c r="C125" s="79" t="s">
        <v>133</v>
      </c>
      <c r="D125" s="89" t="str">
        <f>IF(Configuration!D42="Not Used","","Support")</f>
        <v/>
      </c>
      <c r="E125" s="79"/>
    </row>
    <row r="126" spans="1:5">
      <c r="A126" s="86"/>
      <c r="B126" s="91" t="s">
        <v>70</v>
      </c>
      <c r="C126" s="79" t="s">
        <v>121</v>
      </c>
      <c r="D126" s="89" t="str">
        <f>Configuration!D46</f>
        <v>Not Used</v>
      </c>
      <c r="E126" s="79"/>
    </row>
    <row r="127" spans="1:5">
      <c r="A127" s="86"/>
      <c r="B127" s="91"/>
      <c r="C127" s="79" t="s">
        <v>122</v>
      </c>
      <c r="D127" s="89" t="str">
        <f>IF(Configuration!D46="Not Used","",IF(Configuration!D46="Video","YUV+RGB format;",IF(Configuration!D46="Graphic","RGB format only;",IF(Configuration!D46="Simple","Linear YUV+RGB format;","ARGB8"))))</f>
        <v/>
      </c>
      <c r="E127" s="79"/>
    </row>
    <row r="128" spans="1:5">
      <c r="A128" s="86"/>
      <c r="B128" s="91"/>
      <c r="C128" s="79" t="s">
        <v>93</v>
      </c>
      <c r="D128" s="89" t="str">
        <f>IF(Configuration!D46="Not Used","",IF(OR(Configuration!D46="Simple",Configuration!D46="Cursor"),"Linear","Tile&amp;Linear"))</f>
        <v/>
      </c>
      <c r="E128" s="79"/>
    </row>
    <row r="129" spans="1:5">
      <c r="A129" s="86"/>
      <c r="B129" s="91"/>
      <c r="C129" s="79" t="s">
        <v>110</v>
      </c>
      <c r="D129" s="89" t="str">
        <f>Configuration!D47</f>
        <v>Not Support</v>
      </c>
      <c r="E129" s="79"/>
    </row>
    <row r="130" spans="1:5">
      <c r="A130" s="86"/>
      <c r="B130" s="91"/>
      <c r="C130" s="79" t="s">
        <v>123</v>
      </c>
      <c r="D130" s="89" t="str">
        <f>IF(Configuration!D46="Not Used","",IF(Configuration!D46="Cursor","256x256","4096x2160"))</f>
        <v/>
      </c>
      <c r="E130" s="79"/>
    </row>
    <row r="131" spans="1:5">
      <c r="A131" s="86"/>
      <c r="B131" s="91"/>
      <c r="C131" s="79" t="s">
        <v>124</v>
      </c>
      <c r="D131" s="89" t="str">
        <f>IF(Configuration!D46="Not Used","",IF(OR(Configuration!D46="Video"),"Support","Not Support"))</f>
        <v/>
      </c>
      <c r="E131" s="79" t="s">
        <v>125</v>
      </c>
    </row>
    <row r="132" spans="1:5">
      <c r="A132" s="86"/>
      <c r="B132" s="91"/>
      <c r="C132" s="79" t="s">
        <v>126</v>
      </c>
      <c r="D132" s="89" t="str">
        <f>IF(Configuration!D46="Not Used","",IF(Configuration!D46="Cursor","Not Support","Support"))</f>
        <v/>
      </c>
      <c r="E132" s="79" t="s">
        <v>127</v>
      </c>
    </row>
    <row r="133" spans="1:5">
      <c r="A133" s="86"/>
      <c r="B133" s="91"/>
      <c r="C133" s="79" t="s">
        <v>128</v>
      </c>
      <c r="D133" s="89" t="str">
        <f>IF(Configuration!D46="Not Used","","Support")</f>
        <v/>
      </c>
      <c r="E133" s="79"/>
    </row>
    <row r="134" spans="1:5">
      <c r="A134" s="86"/>
      <c r="B134" s="91"/>
      <c r="C134" s="79" t="s">
        <v>129</v>
      </c>
      <c r="D134" s="89" t="str">
        <f>IF(Configuration!D46="Not Used","","Support")</f>
        <v/>
      </c>
      <c r="E134" s="79"/>
    </row>
    <row r="135" spans="1:5">
      <c r="A135" s="86"/>
      <c r="B135" s="91"/>
      <c r="C135" s="79" t="s">
        <v>130</v>
      </c>
      <c r="D135" s="89" t="str">
        <f>IF(Configuration!D46="Not Used","","Support")</f>
        <v/>
      </c>
      <c r="E135" s="79"/>
    </row>
    <row r="136" spans="1:5">
      <c r="A136" s="86"/>
      <c r="B136" s="91"/>
      <c r="C136" s="79" t="s">
        <v>61</v>
      </c>
      <c r="D136" s="89" t="str">
        <f>Configuration!D49</f>
        <v>Not Support</v>
      </c>
      <c r="E136" s="90" t="s">
        <v>131</v>
      </c>
    </row>
    <row r="137" spans="1:5">
      <c r="A137" s="86"/>
      <c r="B137" s="91"/>
      <c r="C137" s="79" t="s">
        <v>59</v>
      </c>
      <c r="D137" s="89" t="str">
        <f>Configuration!D48</f>
        <v>Not Support</v>
      </c>
      <c r="E137" s="85"/>
    </row>
    <row r="138" spans="1:5">
      <c r="A138" s="86"/>
      <c r="B138" s="91"/>
      <c r="C138" s="79" t="s">
        <v>132</v>
      </c>
      <c r="D138" s="89" t="str">
        <f>IF(Configuration!D46="Not Used","",IF(OR(Configuration!D46="Video",Configuration!D46="Simple"),"Support","Not Support"))</f>
        <v/>
      </c>
      <c r="E138" s="79"/>
    </row>
    <row r="139" spans="1:5">
      <c r="A139" s="86"/>
      <c r="B139" s="91"/>
      <c r="C139" s="79" t="s">
        <v>133</v>
      </c>
      <c r="D139" s="89" t="str">
        <f>IF(Configuration!D46="Not Used","","Support")</f>
        <v/>
      </c>
      <c r="E139" s="79"/>
    </row>
    <row r="140" spans="1:5">
      <c r="A140" s="86"/>
      <c r="B140" s="91" t="s">
        <v>71</v>
      </c>
      <c r="C140" s="79" t="s">
        <v>121</v>
      </c>
      <c r="D140" s="89" t="str">
        <f>Configuration!D50</f>
        <v>Not Used</v>
      </c>
      <c r="E140" s="79"/>
    </row>
    <row r="141" spans="1:5">
      <c r="A141" s="86"/>
      <c r="B141" s="91"/>
      <c r="C141" s="79" t="s">
        <v>122</v>
      </c>
      <c r="D141" s="89" t="str">
        <f>IF(Configuration!D50="Not Used","",IF(Configuration!D50="Video","YUV+RGB format;",IF(Configuration!D50="Graphic","RGB format only;",IF(Configuration!D50="Simple","Linear YUV+RGB format;","ARGB8"))))</f>
        <v/>
      </c>
      <c r="E141" s="79"/>
    </row>
    <row r="142" spans="1:5">
      <c r="A142" s="86"/>
      <c r="B142" s="91"/>
      <c r="C142" s="79" t="s">
        <v>93</v>
      </c>
      <c r="D142" s="89" t="str">
        <f>IF(Configuration!D50="Not Used","",IF(OR(Configuration!D50="Simple",Configuration!D50="Cursor"),"Linear","Tile&amp;Linear"))</f>
        <v/>
      </c>
      <c r="E142" s="79"/>
    </row>
    <row r="143" spans="1:5">
      <c r="A143" s="86"/>
      <c r="B143" s="91"/>
      <c r="C143" s="79" t="s">
        <v>110</v>
      </c>
      <c r="D143" s="89" t="str">
        <f>Configuration!D51</f>
        <v>Not Support</v>
      </c>
      <c r="E143" s="79"/>
    </row>
    <row r="144" spans="1:5">
      <c r="A144" s="86"/>
      <c r="B144" s="91"/>
      <c r="C144" s="79" t="s">
        <v>123</v>
      </c>
      <c r="D144" s="89" t="str">
        <f>IF(Configuration!D50="Not Used","",IF(Configuration!D50="Cursor","256x256","4096x2160"))</f>
        <v/>
      </c>
      <c r="E144" s="79"/>
    </row>
    <row r="145" spans="1:5">
      <c r="A145" s="86"/>
      <c r="B145" s="91"/>
      <c r="C145" s="79" t="s">
        <v>124</v>
      </c>
      <c r="D145" s="89" t="str">
        <f>IF(Configuration!D50="Not Used","",IF(OR(Configuration!D50="Video"),"Support","Not Support"))</f>
        <v/>
      </c>
      <c r="E145" s="79" t="s">
        <v>125</v>
      </c>
    </row>
    <row r="146" spans="1:5">
      <c r="A146" s="86"/>
      <c r="B146" s="91"/>
      <c r="C146" s="79" t="s">
        <v>126</v>
      </c>
      <c r="D146" s="89" t="str">
        <f>IF(Configuration!D50="Not Used","",IF(Configuration!D50="Cursor","Not Support","Support"))</f>
        <v/>
      </c>
      <c r="E146" s="79" t="s">
        <v>127</v>
      </c>
    </row>
    <row r="147" spans="1:5">
      <c r="A147" s="86"/>
      <c r="B147" s="91"/>
      <c r="C147" s="79" t="s">
        <v>128</v>
      </c>
      <c r="D147" s="89" t="str">
        <f>IF(Configuration!D50="Not Used","","Support")</f>
        <v/>
      </c>
      <c r="E147" s="79"/>
    </row>
    <row r="148" spans="1:5">
      <c r="A148" s="86"/>
      <c r="B148" s="91"/>
      <c r="C148" s="79" t="s">
        <v>129</v>
      </c>
      <c r="D148" s="89" t="str">
        <f>IF(Configuration!D50="Not Used","","Support")</f>
        <v/>
      </c>
      <c r="E148" s="79"/>
    </row>
    <row r="149" spans="1:5">
      <c r="A149" s="86"/>
      <c r="B149" s="91"/>
      <c r="C149" s="79" t="s">
        <v>130</v>
      </c>
      <c r="D149" s="89" t="str">
        <f>IF(Configuration!D50="Not Used","","Support")</f>
        <v/>
      </c>
      <c r="E149" s="79"/>
    </row>
    <row r="150" spans="1:5">
      <c r="A150" s="86"/>
      <c r="B150" s="91"/>
      <c r="C150" s="79" t="s">
        <v>61</v>
      </c>
      <c r="D150" s="89" t="str">
        <f>Configuration!D53</f>
        <v>Not Support</v>
      </c>
      <c r="E150" s="90" t="s">
        <v>131</v>
      </c>
    </row>
    <row r="151" spans="1:5">
      <c r="A151" s="86"/>
      <c r="B151" s="91"/>
      <c r="C151" s="79" t="s">
        <v>59</v>
      </c>
      <c r="D151" s="89" t="str">
        <f>Configuration!D52</f>
        <v>Not Support</v>
      </c>
      <c r="E151" s="85"/>
    </row>
    <row r="152" spans="1:5">
      <c r="A152" s="86"/>
      <c r="B152" s="91"/>
      <c r="C152" s="79" t="s">
        <v>132</v>
      </c>
      <c r="D152" s="89" t="str">
        <f>IF(Configuration!D50="Not Used","",IF(OR(Configuration!D50="Video",Configuration!D50="Simple"),"Support","Not Support"))</f>
        <v/>
      </c>
      <c r="E152" s="79"/>
    </row>
    <row r="153" spans="1:5">
      <c r="A153" s="86"/>
      <c r="B153" s="91"/>
      <c r="C153" s="79" t="s">
        <v>133</v>
      </c>
      <c r="D153" s="89" t="str">
        <f>IF(Configuration!D50="Not Used","","Support")</f>
        <v/>
      </c>
      <c r="E153" s="79"/>
    </row>
    <row r="154" spans="1:5">
      <c r="A154" s="86"/>
      <c r="B154" s="91" t="s">
        <v>72</v>
      </c>
      <c r="C154" s="79" t="s">
        <v>121</v>
      </c>
      <c r="D154" s="89" t="str">
        <f>Configuration!D54</f>
        <v>Not Used</v>
      </c>
      <c r="E154" s="79"/>
    </row>
    <row r="155" spans="1:5">
      <c r="A155" s="86"/>
      <c r="B155" s="91"/>
      <c r="C155" s="79" t="s">
        <v>122</v>
      </c>
      <c r="D155" s="89" t="str">
        <f>IF(Configuration!D54="Not Used","",IF(Configuration!D54="Video","YUV+RGB format;",IF(Configuration!D54="Graphic","RGB format only;",IF(Configuration!D54="Simple","Linear YUV+RGB format;","ARGB8"))))</f>
        <v/>
      </c>
      <c r="E155" s="79"/>
    </row>
    <row r="156" spans="1:5">
      <c r="A156" s="86"/>
      <c r="B156" s="91"/>
      <c r="C156" s="79" t="s">
        <v>93</v>
      </c>
      <c r="D156" s="89" t="str">
        <f>IF(Configuration!D54="Not Used","",IF(OR(Configuration!D54="Simple",Configuration!D54="Cursor"),"Linear","Tile&amp;Linear"))</f>
        <v/>
      </c>
      <c r="E156" s="79"/>
    </row>
    <row r="157" spans="1:5">
      <c r="A157" s="86"/>
      <c r="B157" s="91"/>
      <c r="C157" s="79" t="s">
        <v>110</v>
      </c>
      <c r="D157" s="89" t="str">
        <f>Configuration!D55</f>
        <v>Not Support</v>
      </c>
      <c r="E157" s="79"/>
    </row>
    <row r="158" spans="1:5">
      <c r="A158" s="86"/>
      <c r="B158" s="91"/>
      <c r="C158" s="79" t="s">
        <v>123</v>
      </c>
      <c r="D158" s="89" t="str">
        <f>IF(Configuration!D54="Not Used","",IF(Configuration!D54="Cursor","256x256","4096x2160"))</f>
        <v/>
      </c>
      <c r="E158" s="79"/>
    </row>
    <row r="159" spans="1:5">
      <c r="A159" s="86"/>
      <c r="B159" s="91"/>
      <c r="C159" s="79" t="s">
        <v>124</v>
      </c>
      <c r="D159" s="89" t="str">
        <f>IF(Configuration!D54="Not Used","",IF(OR(Configuration!D54="Video"),"Support","Not Support"))</f>
        <v/>
      </c>
      <c r="E159" s="79" t="s">
        <v>125</v>
      </c>
    </row>
    <row r="160" spans="1:5">
      <c r="A160" s="86"/>
      <c r="B160" s="91"/>
      <c r="C160" s="79" t="s">
        <v>126</v>
      </c>
      <c r="D160" s="89" t="str">
        <f>IF(Configuration!D54="Not Used","",IF(Configuration!D54="Cursor","Not Support","Support"))</f>
        <v/>
      </c>
      <c r="E160" s="79" t="s">
        <v>127</v>
      </c>
    </row>
    <row r="161" spans="1:5">
      <c r="A161" s="86"/>
      <c r="B161" s="91"/>
      <c r="C161" s="79" t="s">
        <v>128</v>
      </c>
      <c r="D161" s="89" t="str">
        <f>IF(Configuration!D54="Not Used","","Support")</f>
        <v/>
      </c>
      <c r="E161" s="79"/>
    </row>
    <row r="162" spans="1:5">
      <c r="A162" s="86"/>
      <c r="B162" s="91"/>
      <c r="C162" s="79" t="s">
        <v>129</v>
      </c>
      <c r="D162" s="89" t="str">
        <f>IF(Configuration!D54="Not Used","","Support")</f>
        <v/>
      </c>
      <c r="E162" s="79"/>
    </row>
    <row r="163" spans="1:5">
      <c r="A163" s="86"/>
      <c r="B163" s="91"/>
      <c r="C163" s="79" t="s">
        <v>130</v>
      </c>
      <c r="D163" s="89" t="str">
        <f>IF(Configuration!D54="Not Used","","Support")</f>
        <v/>
      </c>
      <c r="E163" s="79"/>
    </row>
    <row r="164" spans="1:5">
      <c r="A164" s="86"/>
      <c r="B164" s="91"/>
      <c r="C164" s="79" t="s">
        <v>61</v>
      </c>
      <c r="D164" s="89" t="str">
        <f>Configuration!D57</f>
        <v>Not Support</v>
      </c>
      <c r="E164" s="90" t="s">
        <v>131</v>
      </c>
    </row>
    <row r="165" spans="1:5">
      <c r="A165" s="86"/>
      <c r="B165" s="91"/>
      <c r="C165" s="79" t="s">
        <v>59</v>
      </c>
      <c r="D165" s="89" t="str">
        <f>Configuration!D56</f>
        <v>Not Support</v>
      </c>
      <c r="E165" s="85"/>
    </row>
    <row r="166" spans="1:5">
      <c r="A166" s="86"/>
      <c r="B166" s="91"/>
      <c r="C166" s="79" t="s">
        <v>132</v>
      </c>
      <c r="D166" s="89" t="str">
        <f>IF(Configuration!D54="Not Used","",IF(OR(Configuration!D54="Video",Configuration!D54="Simple"),"Support","Not Support"))</f>
        <v/>
      </c>
      <c r="E166" s="79"/>
    </row>
    <row r="167" spans="1:5">
      <c r="A167" s="86"/>
      <c r="B167" s="91"/>
      <c r="C167" s="79" t="s">
        <v>133</v>
      </c>
      <c r="D167" s="89" t="str">
        <f>IF(Configuration!D54="Not Used","","Support")</f>
        <v/>
      </c>
      <c r="E167" s="79"/>
    </row>
    <row r="168" spans="1:5">
      <c r="A168" s="86"/>
      <c r="B168" s="91" t="s">
        <v>73</v>
      </c>
      <c r="C168" s="79" t="s">
        <v>121</v>
      </c>
      <c r="D168" s="89" t="str">
        <f>Configuration!D58</f>
        <v>Not Used</v>
      </c>
      <c r="E168" s="79"/>
    </row>
    <row r="169" spans="1:5">
      <c r="A169" s="86"/>
      <c r="B169" s="91"/>
      <c r="C169" s="79" t="s">
        <v>122</v>
      </c>
      <c r="D169" s="89" t="str">
        <f>IF(Configuration!D58="Not Used","",IF(Configuration!D58="Video","YUV+RGB format;",IF(Configuration!D58="Graphic","RGB format only;",IF(Configuration!D58="Simple","Linear YUV+RGB format;","ARGB8"))))</f>
        <v/>
      </c>
      <c r="E169" s="79"/>
    </row>
    <row r="170" spans="1:5">
      <c r="A170" s="86"/>
      <c r="B170" s="91"/>
      <c r="C170" s="79" t="s">
        <v>93</v>
      </c>
      <c r="D170" s="89" t="str">
        <f>IF(Configuration!D58="Not Used","",IF(OR(Configuration!D58="Simple",Configuration!D58="Cursor"),"Linear","Tile&amp;Linear"))</f>
        <v/>
      </c>
      <c r="E170" s="79"/>
    </row>
    <row r="171" spans="1:5">
      <c r="A171" s="86"/>
      <c r="B171" s="91"/>
      <c r="C171" s="79" t="s">
        <v>110</v>
      </c>
      <c r="D171" s="89" t="str">
        <f>Configuration!D59</f>
        <v>Not Support</v>
      </c>
      <c r="E171" s="79"/>
    </row>
    <row r="172" spans="1:5">
      <c r="A172" s="86"/>
      <c r="B172" s="91"/>
      <c r="C172" s="79" t="s">
        <v>123</v>
      </c>
      <c r="D172" s="89" t="str">
        <f>IF(Configuration!D58="Not Used","",IF(Configuration!D58="Cursor","256x256","4096x2160"))</f>
        <v/>
      </c>
      <c r="E172" s="79"/>
    </row>
    <row r="173" spans="1:5">
      <c r="A173" s="86"/>
      <c r="B173" s="91"/>
      <c r="C173" s="79" t="s">
        <v>124</v>
      </c>
      <c r="D173" s="89" t="str">
        <f>IF(Configuration!D58="Not Used","",IF(OR(Configuration!D58="Video"),"Support","Not Support"))</f>
        <v/>
      </c>
      <c r="E173" s="79" t="s">
        <v>125</v>
      </c>
    </row>
    <row r="174" spans="1:5">
      <c r="A174" s="86"/>
      <c r="B174" s="91"/>
      <c r="C174" s="79" t="s">
        <v>126</v>
      </c>
      <c r="D174" s="89" t="str">
        <f>IF(Configuration!D58="Not Used","",IF(Configuration!D58="Cursor","Not Support","Support"))</f>
        <v/>
      </c>
      <c r="E174" s="79" t="s">
        <v>127</v>
      </c>
    </row>
    <row r="175" spans="1:5">
      <c r="A175" s="86"/>
      <c r="B175" s="91"/>
      <c r="C175" s="79" t="s">
        <v>128</v>
      </c>
      <c r="D175" s="89" t="str">
        <f>IF(Configuration!D58="Not Used","","Support")</f>
        <v/>
      </c>
      <c r="E175" s="79"/>
    </row>
    <row r="176" spans="1:5">
      <c r="A176" s="86"/>
      <c r="B176" s="91"/>
      <c r="C176" s="79" t="s">
        <v>129</v>
      </c>
      <c r="D176" s="89" t="str">
        <f>IF(Configuration!D58="Not Used","","Support")</f>
        <v/>
      </c>
      <c r="E176" s="79"/>
    </row>
    <row r="177" spans="1:5">
      <c r="A177" s="86"/>
      <c r="B177" s="91"/>
      <c r="C177" s="79" t="s">
        <v>130</v>
      </c>
      <c r="D177" s="89" t="str">
        <f>IF(Configuration!D58="Not Used","","Support")</f>
        <v/>
      </c>
      <c r="E177" s="79"/>
    </row>
    <row r="178" spans="1:5">
      <c r="A178" s="86"/>
      <c r="B178" s="91"/>
      <c r="C178" s="79" t="s">
        <v>61</v>
      </c>
      <c r="D178" s="89" t="str">
        <f>Configuration!D61</f>
        <v>Not Support</v>
      </c>
      <c r="E178" s="90" t="s">
        <v>131</v>
      </c>
    </row>
    <row r="179" spans="1:5">
      <c r="A179" s="86"/>
      <c r="B179" s="91"/>
      <c r="C179" s="79" t="s">
        <v>59</v>
      </c>
      <c r="D179" s="89" t="str">
        <f>Configuration!D60</f>
        <v>Not Support</v>
      </c>
      <c r="E179" s="85"/>
    </row>
    <row r="180" spans="1:5">
      <c r="A180" s="86"/>
      <c r="B180" s="91"/>
      <c r="C180" s="79" t="s">
        <v>132</v>
      </c>
      <c r="D180" s="89" t="str">
        <f>IF(Configuration!D58="Not Used","",IF(OR(Configuration!D58="Video",Configuration!D58="Simple"),"Support","Not Support"))</f>
        <v/>
      </c>
      <c r="E180" s="79"/>
    </row>
    <row r="181" spans="1:5">
      <c r="A181" s="86"/>
      <c r="B181" s="91"/>
      <c r="C181" s="79" t="s">
        <v>133</v>
      </c>
      <c r="D181" s="89" t="str">
        <f>IF(Configuration!D58="Not Used","","Support")</f>
        <v/>
      </c>
      <c r="E181" s="79"/>
    </row>
    <row r="182" spans="1:5">
      <c r="A182" s="86"/>
      <c r="B182" s="91" t="s">
        <v>74</v>
      </c>
      <c r="C182" s="79" t="s">
        <v>121</v>
      </c>
      <c r="D182" s="89" t="str">
        <f>Configuration!D62</f>
        <v>Not Used</v>
      </c>
      <c r="E182" s="79"/>
    </row>
    <row r="183" spans="1:5">
      <c r="A183" s="86"/>
      <c r="B183" s="91"/>
      <c r="C183" s="79" t="s">
        <v>122</v>
      </c>
      <c r="D183" s="89" t="str">
        <f>IF(Configuration!D62="Not Used","",IF(Configuration!D62="Video","YUV+RGB format;",IF(Configuration!D62="Graphic","RGB format only;",IF(Configuration!D62="Simple","Linear YUV+RGB format;","ARGB8"))))</f>
        <v/>
      </c>
      <c r="E183" s="79"/>
    </row>
    <row r="184" spans="1:5">
      <c r="A184" s="86"/>
      <c r="B184" s="91"/>
      <c r="C184" s="79" t="s">
        <v>93</v>
      </c>
      <c r="D184" s="89" t="str">
        <f>IF(Configuration!D62="Not Used","",IF(OR(Configuration!D62="Simple",Configuration!D62="Cursor"),"Linear","Tile&amp;Linear"))</f>
        <v/>
      </c>
      <c r="E184" s="79"/>
    </row>
    <row r="185" spans="1:5">
      <c r="A185" s="86"/>
      <c r="B185" s="91"/>
      <c r="C185" s="79" t="s">
        <v>110</v>
      </c>
      <c r="D185" s="89" t="str">
        <f>Configuration!D63</f>
        <v>Not Support</v>
      </c>
      <c r="E185" s="79"/>
    </row>
    <row r="186" spans="1:5">
      <c r="A186" s="86"/>
      <c r="B186" s="91"/>
      <c r="C186" s="79" t="s">
        <v>123</v>
      </c>
      <c r="D186" s="89" t="str">
        <f>IF(Configuration!D62="Not Used","",IF(Configuration!D62="Cursor","256x256","4096x2160"))</f>
        <v/>
      </c>
      <c r="E186" s="79"/>
    </row>
    <row r="187" spans="1:5">
      <c r="A187" s="86"/>
      <c r="B187" s="91"/>
      <c r="C187" s="79" t="s">
        <v>124</v>
      </c>
      <c r="D187" s="89" t="str">
        <f>IF(Configuration!D62="Not Used","",IF(OR(Configuration!D62="Video"),"Support","Not Support"))</f>
        <v/>
      </c>
      <c r="E187" s="79" t="s">
        <v>125</v>
      </c>
    </row>
    <row r="188" spans="1:5">
      <c r="A188" s="86"/>
      <c r="B188" s="91"/>
      <c r="C188" s="79" t="s">
        <v>126</v>
      </c>
      <c r="D188" s="89" t="str">
        <f>IF(Configuration!D62="Not Used","",IF(Configuration!D62="Cursor","Not Support","Support"))</f>
        <v/>
      </c>
      <c r="E188" s="79" t="s">
        <v>127</v>
      </c>
    </row>
    <row r="189" spans="1:5">
      <c r="A189" s="86"/>
      <c r="B189" s="91"/>
      <c r="C189" s="79" t="s">
        <v>128</v>
      </c>
      <c r="D189" s="89" t="str">
        <f>IF(Configuration!D62="Not Used","","Support")</f>
        <v/>
      </c>
      <c r="E189" s="79"/>
    </row>
    <row r="190" spans="1:5">
      <c r="A190" s="86"/>
      <c r="B190" s="91"/>
      <c r="C190" s="79" t="s">
        <v>129</v>
      </c>
      <c r="D190" s="89" t="str">
        <f>IF(Configuration!D62="Not Used","","Support")</f>
        <v/>
      </c>
      <c r="E190" s="79"/>
    </row>
    <row r="191" spans="1:5">
      <c r="A191" s="86"/>
      <c r="B191" s="91"/>
      <c r="C191" s="79" t="s">
        <v>130</v>
      </c>
      <c r="D191" s="89" t="str">
        <f>IF(Configuration!D62="Not Used","","Support")</f>
        <v/>
      </c>
      <c r="E191" s="79"/>
    </row>
    <row r="192" spans="1:5">
      <c r="A192" s="86"/>
      <c r="B192" s="91"/>
      <c r="C192" s="79" t="s">
        <v>61</v>
      </c>
      <c r="D192" s="89" t="str">
        <f>Configuration!D65</f>
        <v>Not Support</v>
      </c>
      <c r="E192" s="90" t="s">
        <v>131</v>
      </c>
    </row>
    <row r="193" spans="1:5">
      <c r="A193" s="86"/>
      <c r="B193" s="91"/>
      <c r="C193" s="79" t="s">
        <v>59</v>
      </c>
      <c r="D193" s="89" t="str">
        <f>Configuration!D64</f>
        <v>Not Support</v>
      </c>
      <c r="E193" s="85"/>
    </row>
    <row r="194" spans="1:5">
      <c r="A194" s="86"/>
      <c r="B194" s="91"/>
      <c r="C194" s="79" t="s">
        <v>132</v>
      </c>
      <c r="D194" s="89" t="str">
        <f>IF(Configuration!D62="Not Used","",IF(OR(Configuration!D62="Video",Configuration!D62="Simple"),"Support","Not Support"))</f>
        <v/>
      </c>
      <c r="E194" s="79"/>
    </row>
    <row r="195" spans="1:5">
      <c r="A195" s="86"/>
      <c r="B195" s="91"/>
      <c r="C195" s="79" t="s">
        <v>133</v>
      </c>
      <c r="D195" s="89" t="str">
        <f>IF(Configuration!D62="Not Used","","Support")</f>
        <v/>
      </c>
      <c r="E195" s="79"/>
    </row>
    <row r="196" spans="1:5">
      <c r="A196" s="86"/>
      <c r="B196" s="91" t="s">
        <v>75</v>
      </c>
      <c r="C196" s="79" t="s">
        <v>121</v>
      </c>
      <c r="D196" s="89" t="str">
        <f>Configuration!D66</f>
        <v>Not Used</v>
      </c>
      <c r="E196" s="79"/>
    </row>
    <row r="197" spans="1:5">
      <c r="A197" s="86"/>
      <c r="B197" s="91"/>
      <c r="C197" s="79" t="s">
        <v>122</v>
      </c>
      <c r="D197" s="89" t="str">
        <f>IF(Configuration!D66="Not Used","",IF(Configuration!D66="Video","YUV+RGB format;",IF(Configuration!D66="Graphic","RGB format only;",IF(Configuration!D66="Simple","Linear YUV+RGB format;","ARGB8"))))</f>
        <v/>
      </c>
      <c r="E197" s="79"/>
    </row>
    <row r="198" spans="1:5">
      <c r="A198" s="86"/>
      <c r="B198" s="91"/>
      <c r="C198" s="79" t="s">
        <v>93</v>
      </c>
      <c r="D198" s="89" t="str">
        <f>IF(Configuration!D66="Not Used","",IF(OR(Configuration!D66="Simple",Configuration!D66="Cursor"),"Linear","Tile&amp;Linear"))</f>
        <v/>
      </c>
      <c r="E198" s="79"/>
    </row>
    <row r="199" spans="1:5">
      <c r="A199" s="86"/>
      <c r="B199" s="91"/>
      <c r="C199" s="79" t="s">
        <v>110</v>
      </c>
      <c r="D199" s="89" t="str">
        <f>Configuration!D67</f>
        <v>Not Support</v>
      </c>
      <c r="E199" s="79"/>
    </row>
    <row r="200" spans="1:5">
      <c r="A200" s="86"/>
      <c r="B200" s="91"/>
      <c r="C200" s="79" t="s">
        <v>123</v>
      </c>
      <c r="D200" s="89" t="str">
        <f>IF(Configuration!D66="Not Used","",IF(Configuration!D66="Cursor","256x256","4096x2160"))</f>
        <v/>
      </c>
      <c r="E200" s="79"/>
    </row>
    <row r="201" spans="1:5">
      <c r="A201" s="86"/>
      <c r="B201" s="91"/>
      <c r="C201" s="79" t="s">
        <v>124</v>
      </c>
      <c r="D201" s="89" t="str">
        <f>IF(Configuration!D66="Not Used","",IF(OR(Configuration!D66="Video"),"Support","Not Support"))</f>
        <v/>
      </c>
      <c r="E201" s="79" t="s">
        <v>125</v>
      </c>
    </row>
    <row r="202" spans="1:5">
      <c r="A202" s="86"/>
      <c r="B202" s="91"/>
      <c r="C202" s="79" t="s">
        <v>126</v>
      </c>
      <c r="D202" s="89" t="str">
        <f>IF(Configuration!D66="Not Used","",IF(Configuration!D66="Cursor","Not Support","Support"))</f>
        <v/>
      </c>
      <c r="E202" s="79" t="s">
        <v>127</v>
      </c>
    </row>
    <row r="203" spans="1:5">
      <c r="A203" s="86"/>
      <c r="B203" s="91"/>
      <c r="C203" s="79" t="s">
        <v>128</v>
      </c>
      <c r="D203" s="89" t="str">
        <f>IF(Configuration!D66="Not Used","","Support")</f>
        <v/>
      </c>
      <c r="E203" s="79"/>
    </row>
    <row r="204" spans="1:5">
      <c r="A204" s="86"/>
      <c r="B204" s="91"/>
      <c r="C204" s="79" t="s">
        <v>129</v>
      </c>
      <c r="D204" s="89" t="str">
        <f>IF(Configuration!D66="Not Used","","Support")</f>
        <v/>
      </c>
      <c r="E204" s="79"/>
    </row>
    <row r="205" spans="1:5">
      <c r="A205" s="86"/>
      <c r="B205" s="91"/>
      <c r="C205" s="79" t="s">
        <v>130</v>
      </c>
      <c r="D205" s="89" t="str">
        <f>IF(Configuration!D66="Not Used","","Support")</f>
        <v/>
      </c>
      <c r="E205" s="79"/>
    </row>
    <row r="206" spans="1:5">
      <c r="A206" s="86"/>
      <c r="B206" s="91"/>
      <c r="C206" s="79" t="s">
        <v>61</v>
      </c>
      <c r="D206" s="89" t="str">
        <f>Configuration!D69</f>
        <v>Not Support</v>
      </c>
      <c r="E206" s="90" t="s">
        <v>131</v>
      </c>
    </row>
    <row r="207" spans="1:5">
      <c r="A207" s="86"/>
      <c r="B207" s="91"/>
      <c r="C207" s="79" t="s">
        <v>59</v>
      </c>
      <c r="D207" s="89" t="str">
        <f>Configuration!D68</f>
        <v>Not Support</v>
      </c>
      <c r="E207" s="85"/>
    </row>
    <row r="208" spans="1:5">
      <c r="A208" s="86"/>
      <c r="B208" s="91"/>
      <c r="C208" s="79" t="s">
        <v>132</v>
      </c>
      <c r="D208" s="89" t="str">
        <f>IF(Configuration!D66="Not Used","",IF(OR(Configuration!D66="Video",Configuration!D66="Simple"),"Support","Not Support"))</f>
        <v/>
      </c>
      <c r="E208" s="79"/>
    </row>
    <row r="209" spans="1:5">
      <c r="A209" s="86"/>
      <c r="B209" s="91"/>
      <c r="C209" s="79" t="s">
        <v>133</v>
      </c>
      <c r="D209" s="89" t="str">
        <f>IF(Configuration!D66="Not Used","","Support")</f>
        <v/>
      </c>
      <c r="E209" s="79"/>
    </row>
    <row r="210" spans="1:5">
      <c r="A210" s="86"/>
      <c r="B210" s="91" t="s">
        <v>76</v>
      </c>
      <c r="C210" s="79" t="s">
        <v>121</v>
      </c>
      <c r="D210" s="89" t="str">
        <f>Configuration!D70</f>
        <v>Not Used</v>
      </c>
      <c r="E210" s="79"/>
    </row>
    <row r="211" spans="1:5">
      <c r="A211" s="86"/>
      <c r="B211" s="91"/>
      <c r="C211" s="79" t="s">
        <v>122</v>
      </c>
      <c r="D211" s="89" t="str">
        <f>IF(Configuration!D70="Not Used","",IF(Configuration!D70="Video","YUV+RGB format;",IF(Configuration!D70="Graphic","RGB format only;",IF(Configuration!D70="Simple","Linear YUV+RGB format;","ARGB8"))))</f>
        <v/>
      </c>
      <c r="E211" s="79"/>
    </row>
    <row r="212" spans="1:5">
      <c r="A212" s="86"/>
      <c r="B212" s="91"/>
      <c r="C212" s="79" t="s">
        <v>93</v>
      </c>
      <c r="D212" s="89" t="str">
        <f>IF(Configuration!D70="Not Used","",IF(OR(Configuration!D70="Simple",Configuration!D70="Cursor"),"Linear","Tile&amp;Linear"))</f>
        <v/>
      </c>
      <c r="E212" s="79"/>
    </row>
    <row r="213" spans="1:5">
      <c r="A213" s="86"/>
      <c r="B213" s="91"/>
      <c r="C213" s="79" t="s">
        <v>110</v>
      </c>
      <c r="D213" s="89" t="str">
        <f>Configuration!D71</f>
        <v>Not Support</v>
      </c>
      <c r="E213" s="79"/>
    </row>
    <row r="214" spans="1:5">
      <c r="A214" s="86"/>
      <c r="B214" s="91"/>
      <c r="C214" s="79" t="s">
        <v>123</v>
      </c>
      <c r="D214" s="89" t="str">
        <f>IF(Configuration!D70="Not Used","",IF(Configuration!D70="Cursor","256x256","4096x2160"))</f>
        <v/>
      </c>
      <c r="E214" s="79"/>
    </row>
    <row r="215" spans="1:5">
      <c r="A215" s="86"/>
      <c r="B215" s="91"/>
      <c r="C215" s="79" t="s">
        <v>124</v>
      </c>
      <c r="D215" s="89" t="str">
        <f>IF(Configuration!D70="Not Used","",IF(OR(Configuration!D70="Video"),"Support","Not Support"))</f>
        <v/>
      </c>
      <c r="E215" s="79" t="s">
        <v>125</v>
      </c>
    </row>
    <row r="216" spans="1:5">
      <c r="A216" s="86"/>
      <c r="B216" s="91"/>
      <c r="C216" s="79" t="s">
        <v>126</v>
      </c>
      <c r="D216" s="89" t="str">
        <f>IF(Configuration!D70="Not Used","",IF(Configuration!D70="Cursor","Not Support","Support"))</f>
        <v/>
      </c>
      <c r="E216" s="79" t="s">
        <v>127</v>
      </c>
    </row>
    <row r="217" spans="1:5">
      <c r="A217" s="86"/>
      <c r="B217" s="91"/>
      <c r="C217" s="79" t="s">
        <v>128</v>
      </c>
      <c r="D217" s="89" t="str">
        <f>IF(Configuration!D70="Not Used","","Support")</f>
        <v/>
      </c>
      <c r="E217" s="79"/>
    </row>
    <row r="218" spans="1:5">
      <c r="A218" s="86"/>
      <c r="B218" s="91"/>
      <c r="C218" s="79" t="s">
        <v>129</v>
      </c>
      <c r="D218" s="89" t="str">
        <f>IF(Configuration!D70="Not Used","","Support")</f>
        <v/>
      </c>
      <c r="E218" s="79"/>
    </row>
    <row r="219" spans="1:5">
      <c r="A219" s="86"/>
      <c r="B219" s="91"/>
      <c r="C219" s="79" t="s">
        <v>130</v>
      </c>
      <c r="D219" s="89" t="str">
        <f>IF(Configuration!D70="Not Used","","Support")</f>
        <v/>
      </c>
      <c r="E219" s="79"/>
    </row>
    <row r="220" spans="1:5">
      <c r="A220" s="86"/>
      <c r="B220" s="91"/>
      <c r="C220" s="79" t="s">
        <v>61</v>
      </c>
      <c r="D220" s="89" t="str">
        <f>Configuration!D73</f>
        <v>Not Support</v>
      </c>
      <c r="E220" s="90" t="s">
        <v>131</v>
      </c>
    </row>
    <row r="221" spans="1:5">
      <c r="A221" s="86"/>
      <c r="B221" s="91"/>
      <c r="C221" s="79" t="s">
        <v>59</v>
      </c>
      <c r="D221" s="89" t="str">
        <f>Configuration!D72</f>
        <v>Not Support</v>
      </c>
      <c r="E221" s="85"/>
    </row>
    <row r="222" spans="1:5">
      <c r="A222" s="86"/>
      <c r="B222" s="91"/>
      <c r="C222" s="79" t="s">
        <v>132</v>
      </c>
      <c r="D222" s="89" t="str">
        <f>IF(Configuration!D70="Not Used","",IF(OR(Configuration!D70="Video",Configuration!D70="Simple"),"Support","Not Support"))</f>
        <v/>
      </c>
      <c r="E222" s="79"/>
    </row>
    <row r="223" spans="1:5">
      <c r="A223" s="86"/>
      <c r="B223" s="91"/>
      <c r="C223" s="79" t="s">
        <v>133</v>
      </c>
      <c r="D223" s="89" t="str">
        <f>IF(Configuration!D70="Not Used","","Support")</f>
        <v/>
      </c>
      <c r="E223" s="79"/>
    </row>
    <row r="224" spans="1:5">
      <c r="A224" s="86"/>
      <c r="B224" s="91" t="s">
        <v>77</v>
      </c>
      <c r="C224" s="79" t="s">
        <v>121</v>
      </c>
      <c r="D224" s="89" t="str">
        <f>Configuration!D74</f>
        <v>Not Used</v>
      </c>
      <c r="E224" s="79"/>
    </row>
    <row r="225" spans="1:5">
      <c r="A225" s="86"/>
      <c r="B225" s="91"/>
      <c r="C225" s="79" t="s">
        <v>122</v>
      </c>
      <c r="D225" s="89" t="str">
        <f>IF(Configuration!D74="Not Used","",IF(Configuration!D74="Video","YUV+RGB format;",IF(Configuration!D74="Graphic","RGB format only;",IF(Configuration!D74="Simple","Linear YUV+RGB format;","ARGB8"))))</f>
        <v/>
      </c>
      <c r="E225" s="79"/>
    </row>
    <row r="226" spans="1:5">
      <c r="A226" s="86"/>
      <c r="B226" s="91"/>
      <c r="C226" s="79" t="s">
        <v>93</v>
      </c>
      <c r="D226" s="89" t="str">
        <f>IF(Configuration!D74="Not Used","",IF(OR(Configuration!D74="Simple",Configuration!D74="Cursor"),"Linear","Tile&amp;Linear"))</f>
        <v/>
      </c>
      <c r="E226" s="79"/>
    </row>
    <row r="227" spans="1:5">
      <c r="A227" s="86"/>
      <c r="B227" s="91"/>
      <c r="C227" s="79" t="s">
        <v>110</v>
      </c>
      <c r="D227" s="89" t="str">
        <f>Configuration!D75</f>
        <v>Not Support</v>
      </c>
      <c r="E227" s="79"/>
    </row>
    <row r="228" spans="1:5">
      <c r="A228" s="86"/>
      <c r="B228" s="91"/>
      <c r="C228" s="79" t="s">
        <v>123</v>
      </c>
      <c r="D228" s="89" t="str">
        <f>IF(Configuration!D74="Not Used","",IF(Configuration!D74="Cursor","256x256","4096x2160"))</f>
        <v/>
      </c>
      <c r="E228" s="79"/>
    </row>
    <row r="229" spans="1:5">
      <c r="A229" s="86"/>
      <c r="B229" s="91"/>
      <c r="C229" s="79" t="s">
        <v>124</v>
      </c>
      <c r="D229" s="89" t="str">
        <f>IF(Configuration!D74="Not Used","",IF(OR(Configuration!D74="Video"),"Support","Not Support"))</f>
        <v/>
      </c>
      <c r="E229" s="79" t="s">
        <v>125</v>
      </c>
    </row>
    <row r="230" spans="1:5">
      <c r="A230" s="86"/>
      <c r="B230" s="91"/>
      <c r="C230" s="79" t="s">
        <v>126</v>
      </c>
      <c r="D230" s="89" t="str">
        <f>IF(Configuration!D74="Not Used","",IF(Configuration!D74="Cursor","Not Support","Support"))</f>
        <v/>
      </c>
      <c r="E230" s="79" t="s">
        <v>127</v>
      </c>
    </row>
    <row r="231" spans="1:5">
      <c r="A231" s="86"/>
      <c r="B231" s="91"/>
      <c r="C231" s="79" t="s">
        <v>128</v>
      </c>
      <c r="D231" s="89" t="str">
        <f>IF(Configuration!D74="Not Used","","Support")</f>
        <v/>
      </c>
      <c r="E231" s="79"/>
    </row>
    <row r="232" spans="1:5">
      <c r="A232" s="86"/>
      <c r="B232" s="91"/>
      <c r="C232" s="79" t="s">
        <v>129</v>
      </c>
      <c r="D232" s="89" t="str">
        <f>IF(Configuration!D74="Not Used","","Support")</f>
        <v/>
      </c>
      <c r="E232" s="79"/>
    </row>
    <row r="233" spans="1:5">
      <c r="A233" s="86"/>
      <c r="B233" s="91"/>
      <c r="C233" s="79" t="s">
        <v>130</v>
      </c>
      <c r="D233" s="89" t="str">
        <f>IF(Configuration!D74="Not Used","","Support")</f>
        <v/>
      </c>
      <c r="E233" s="79"/>
    </row>
    <row r="234" spans="1:5">
      <c r="A234" s="86"/>
      <c r="B234" s="91"/>
      <c r="C234" s="79" t="s">
        <v>61</v>
      </c>
      <c r="D234" s="89" t="str">
        <f>Configuration!D77</f>
        <v>Not Support</v>
      </c>
      <c r="E234" s="90" t="s">
        <v>131</v>
      </c>
    </row>
    <row r="235" spans="1:5">
      <c r="A235" s="86"/>
      <c r="B235" s="91"/>
      <c r="C235" s="79" t="s">
        <v>59</v>
      </c>
      <c r="D235" s="89" t="str">
        <f>Configuration!D76</f>
        <v>Not Support</v>
      </c>
      <c r="E235" s="85"/>
    </row>
    <row r="236" spans="1:5">
      <c r="A236" s="86"/>
      <c r="B236" s="91"/>
      <c r="C236" s="79" t="s">
        <v>132</v>
      </c>
      <c r="D236" s="89" t="str">
        <f>IF(Configuration!D74="Not Used","",IF(OR(Configuration!D74="Video",Configuration!D74="Simple"),"Support","Not Support"))</f>
        <v/>
      </c>
      <c r="E236" s="79"/>
    </row>
    <row r="237" spans="1:5">
      <c r="A237" s="92"/>
      <c r="B237" s="91"/>
      <c r="C237" s="79" t="s">
        <v>133</v>
      </c>
      <c r="D237" s="89" t="str">
        <f>IF(Configuration!D74="Not Used","","Support")</f>
        <v/>
      </c>
      <c r="E237" s="79"/>
    </row>
    <row r="238" spans="1:5">
      <c r="A238" s="82" t="s">
        <v>45</v>
      </c>
      <c r="B238" s="79" t="s">
        <v>135</v>
      </c>
      <c r="C238" s="79" t="s">
        <v>136</v>
      </c>
      <c r="D238" s="89">
        <f>SUM(Configuration!D4:D7)</f>
        <v>6</v>
      </c>
      <c r="E238" s="79"/>
    </row>
    <row r="239" spans="1:5">
      <c r="A239" s="93"/>
      <c r="B239" s="85" t="s">
        <v>137</v>
      </c>
      <c r="C239" s="79" t="s">
        <v>138</v>
      </c>
      <c r="D239" s="89" t="str">
        <f>Configuration!D81</f>
        <v>Enable</v>
      </c>
      <c r="E239" s="79" t="s">
        <v>139</v>
      </c>
    </row>
    <row r="240" spans="1:5">
      <c r="A240" s="93"/>
      <c r="B240" s="93"/>
      <c r="C240" s="79" t="s">
        <v>82</v>
      </c>
      <c r="D240" s="89" t="str">
        <f>IF(Configuration!D81="Not Used","",Configuration!D82)</f>
        <v>Support</v>
      </c>
      <c r="E240" s="79"/>
    </row>
    <row r="241" spans="1:5">
      <c r="A241" s="93"/>
      <c r="B241" s="93"/>
      <c r="C241" s="79" t="s">
        <v>83</v>
      </c>
      <c r="D241" s="89" t="str">
        <f>IF(Configuration!D81="Not Used","",Configuration!D83)</f>
        <v>Not Support</v>
      </c>
      <c r="E241" s="79"/>
    </row>
    <row r="242" spans="1:5">
      <c r="A242" s="93"/>
      <c r="B242" s="93"/>
      <c r="C242" s="79" t="s">
        <v>84</v>
      </c>
      <c r="D242" s="89" t="str">
        <f>IF(Configuration!D81="Not Used","",Configuration!D84)</f>
        <v>Not Support</v>
      </c>
      <c r="E242" s="79"/>
    </row>
    <row r="243" spans="1:5">
      <c r="A243" s="93"/>
      <c r="B243" s="93"/>
      <c r="C243" s="79" t="s">
        <v>85</v>
      </c>
      <c r="D243" s="89" t="str">
        <f>IF(Configuration!D81="Not Used","",Configuration!D85)</f>
        <v>Not Support</v>
      </c>
      <c r="E243" s="79"/>
    </row>
    <row r="244" spans="1:5">
      <c r="A244" s="93"/>
      <c r="B244" s="93"/>
      <c r="C244" s="79" t="s">
        <v>86</v>
      </c>
      <c r="D244" s="89" t="str">
        <f>IF(Configuration!D81="Not Used","",Configuration!D86)</f>
        <v>Not Support</v>
      </c>
      <c r="E244" s="79" t="str">
        <f>IF(Configuration!D81="Not Used","",IF(Configuration!F10&lt;&gt;"",Configuration!F10,""))</f>
        <v/>
      </c>
    </row>
    <row r="245" spans="1:5">
      <c r="A245" s="93"/>
      <c r="B245" s="93"/>
      <c r="C245" s="79" t="s">
        <v>140</v>
      </c>
      <c r="D245" s="89" t="str">
        <f>IF(Configuration!D81="Not Used","","Support")</f>
        <v>Support</v>
      </c>
      <c r="E245" s="79"/>
    </row>
    <row r="246" spans="1:5">
      <c r="A246" s="93"/>
      <c r="B246" s="94"/>
      <c r="C246" s="79" t="s">
        <v>129</v>
      </c>
      <c r="D246" s="89" t="str">
        <f>IF(Configuration!D81="Not Used","","Support")</f>
        <v>Support</v>
      </c>
      <c r="E246" s="79"/>
    </row>
    <row r="247" spans="1:5">
      <c r="A247" s="93"/>
      <c r="B247" s="85" t="s">
        <v>141</v>
      </c>
      <c r="C247" s="79" t="s">
        <v>138</v>
      </c>
      <c r="D247" s="89" t="str">
        <f>Configuration!D87</f>
        <v>Enable</v>
      </c>
      <c r="E247" s="79" t="s">
        <v>139</v>
      </c>
    </row>
    <row r="248" spans="1:5">
      <c r="A248" s="93"/>
      <c r="B248" s="93"/>
      <c r="C248" s="79" t="s">
        <v>82</v>
      </c>
      <c r="D248" s="89" t="str">
        <f>IF(Configuration!D87="Not Used","",Configuration!D88)</f>
        <v>Support</v>
      </c>
      <c r="E248" s="79"/>
    </row>
    <row r="249" spans="1:5">
      <c r="A249" s="93"/>
      <c r="B249" s="93"/>
      <c r="C249" s="79" t="s">
        <v>83</v>
      </c>
      <c r="D249" s="89" t="str">
        <f>IF(Configuration!D87="Not Used","",Configuration!D89)</f>
        <v>Not Support</v>
      </c>
      <c r="E249" s="79"/>
    </row>
    <row r="250" spans="1:5">
      <c r="A250" s="93"/>
      <c r="B250" s="93"/>
      <c r="C250" s="79" t="s">
        <v>84</v>
      </c>
      <c r="D250" s="89" t="str">
        <f>IF(Configuration!D87="Not Used","",Configuration!D90)</f>
        <v>Not Support</v>
      </c>
      <c r="E250" s="79"/>
    </row>
    <row r="251" spans="1:5">
      <c r="A251" s="93"/>
      <c r="B251" s="93"/>
      <c r="C251" s="79" t="s">
        <v>85</v>
      </c>
      <c r="D251" s="89" t="str">
        <f>IF(Configuration!D87="Not Used","",Configuration!D91)</f>
        <v>Not Support</v>
      </c>
      <c r="E251" s="79"/>
    </row>
    <row r="252" spans="1:5">
      <c r="A252" s="93"/>
      <c r="B252" s="93"/>
      <c r="C252" s="79" t="s">
        <v>86</v>
      </c>
      <c r="D252" s="89" t="str">
        <f>IF(Configuration!D87="Not Used","",Configuration!D92)</f>
        <v>Not Support</v>
      </c>
      <c r="E252" s="79" t="str">
        <f>IF(Configuration!D87="Not Used","",IF(Configuration!F10&lt;&gt;"",Configuration!F10,""))</f>
        <v/>
      </c>
    </row>
    <row r="253" spans="1:5">
      <c r="A253" s="93"/>
      <c r="B253" s="93"/>
      <c r="C253" s="79" t="s">
        <v>140</v>
      </c>
      <c r="D253" s="89" t="str">
        <f>IF(Configuration!D87="Not Used","","Support")</f>
        <v>Support</v>
      </c>
      <c r="E253" s="79"/>
    </row>
    <row r="254" spans="1:5">
      <c r="A254" s="93"/>
      <c r="B254" s="94"/>
      <c r="C254" s="79" t="s">
        <v>129</v>
      </c>
      <c r="D254" s="89" t="str">
        <f>IF(Configuration!D87="Not Used","","Support")</f>
        <v>Support</v>
      </c>
      <c r="E254" s="79"/>
    </row>
    <row r="255" spans="1:5">
      <c r="A255" s="93"/>
      <c r="B255" s="85" t="s">
        <v>142</v>
      </c>
      <c r="C255" s="79" t="s">
        <v>138</v>
      </c>
      <c r="D255" s="89" t="str">
        <f>Configuration!D93</f>
        <v>Not Used</v>
      </c>
      <c r="E255" s="79" t="s">
        <v>139</v>
      </c>
    </row>
    <row r="256" spans="1:5">
      <c r="A256" s="93"/>
      <c r="B256" s="93"/>
      <c r="C256" s="79" t="s">
        <v>82</v>
      </c>
      <c r="D256" s="89" t="str">
        <f>IF(Configuration!D93="Not Used","",Configuration!D94)</f>
        <v/>
      </c>
      <c r="E256" s="79"/>
    </row>
    <row r="257" spans="1:5">
      <c r="A257" s="93"/>
      <c r="B257" s="93"/>
      <c r="C257" s="79" t="s">
        <v>83</v>
      </c>
      <c r="D257" s="89" t="str">
        <f>IF(Configuration!D93="Not Used","",Configuration!D95)</f>
        <v/>
      </c>
      <c r="E257" s="79"/>
    </row>
    <row r="258" spans="1:5">
      <c r="A258" s="93"/>
      <c r="B258" s="93"/>
      <c r="C258" s="79" t="s">
        <v>86</v>
      </c>
      <c r="D258" s="89" t="str">
        <f>IF(Configuration!D93="Not Used","",Configuration!D96)</f>
        <v/>
      </c>
      <c r="E258" s="79" t="str">
        <f>IF(Configuration!D93="Not Used","",IF(Configuration!F10&lt;&gt;"",Configuration!F10,""))</f>
        <v/>
      </c>
    </row>
    <row r="259" spans="1:5">
      <c r="A259" s="93"/>
      <c r="B259" s="93"/>
      <c r="C259" s="79" t="s">
        <v>140</v>
      </c>
      <c r="D259" s="89" t="str">
        <f>IF(Configuration!D93="Not Used","","Support")</f>
        <v/>
      </c>
      <c r="E259" s="79"/>
    </row>
    <row r="260" spans="1:5">
      <c r="A260" s="93"/>
      <c r="B260" s="94"/>
      <c r="C260" s="79" t="s">
        <v>129</v>
      </c>
      <c r="D260" s="89" t="str">
        <f>IF(Configuration!D93="Not Used","","Support")</f>
        <v/>
      </c>
      <c r="E260" s="79"/>
    </row>
    <row r="261" spans="1:5">
      <c r="A261" s="93"/>
      <c r="B261" s="85" t="s">
        <v>143</v>
      </c>
      <c r="C261" s="79" t="s">
        <v>138</v>
      </c>
      <c r="D261" s="89" t="str">
        <f>Configuration!D97</f>
        <v>Not Used</v>
      </c>
      <c r="E261" s="79" t="s">
        <v>139</v>
      </c>
    </row>
    <row r="262" spans="1:5">
      <c r="A262" s="93"/>
      <c r="B262" s="93"/>
      <c r="C262" s="79" t="s">
        <v>82</v>
      </c>
      <c r="D262" s="89" t="str">
        <f>IF(Configuration!D97="Not Used","",Configuration!D98)</f>
        <v/>
      </c>
      <c r="E262" s="79"/>
    </row>
    <row r="263" spans="1:5">
      <c r="A263" s="93"/>
      <c r="B263" s="93"/>
      <c r="C263" s="79" t="s">
        <v>83</v>
      </c>
      <c r="D263" s="89" t="str">
        <f>IF(Configuration!D97="Not Used","",Configuration!D99)</f>
        <v/>
      </c>
      <c r="E263" s="79"/>
    </row>
    <row r="264" spans="1:5">
      <c r="A264" s="93"/>
      <c r="B264" s="93"/>
      <c r="C264" s="79" t="s">
        <v>86</v>
      </c>
      <c r="D264" s="89" t="str">
        <f>IF(Configuration!D97="Not Used","",Configuration!D100)</f>
        <v/>
      </c>
      <c r="E264" s="79" t="str">
        <f>IF(Configuration!D97="Not Used","",IF(Configuration!F10&lt;&gt;"",Configuration!F10,""))</f>
        <v/>
      </c>
    </row>
    <row r="265" spans="1:5">
      <c r="A265" s="93"/>
      <c r="B265" s="93"/>
      <c r="C265" s="79" t="s">
        <v>140</v>
      </c>
      <c r="D265" s="89" t="str">
        <f>IF(Configuration!D97="Not Used","","Support")</f>
        <v/>
      </c>
      <c r="E265" s="79"/>
    </row>
    <row r="266" spans="1:5">
      <c r="A266" s="93"/>
      <c r="B266" s="94"/>
      <c r="C266" s="79" t="s">
        <v>129</v>
      </c>
      <c r="D266" s="89" t="str">
        <f>IF(Configuration!D97="Not Used","","Support")</f>
        <v/>
      </c>
      <c r="E266" s="79"/>
    </row>
    <row r="267" ht="15" spans="1:5">
      <c r="A267" s="93"/>
      <c r="B267" s="95" t="s">
        <v>144</v>
      </c>
      <c r="C267" s="79" t="s">
        <v>92</v>
      </c>
      <c r="D267" s="89">
        <f>Configuration!D101</f>
        <v>1</v>
      </c>
      <c r="E267" s="79"/>
    </row>
    <row r="268" spans="1:5">
      <c r="A268" s="93"/>
      <c r="B268" s="93"/>
      <c r="C268" s="79" t="s">
        <v>95</v>
      </c>
      <c r="D268" s="89" t="str">
        <f>IF(D211="Not Used","",Configuration!D103)</f>
        <v>On-Line write back only</v>
      </c>
      <c r="E268" s="96"/>
    </row>
    <row r="269" spans="1:5">
      <c r="A269" s="93"/>
      <c r="B269" s="93"/>
      <c r="C269" s="79" t="s">
        <v>93</v>
      </c>
      <c r="D269" s="89" t="str">
        <f>IF(D211="Not Used","",Configuration!D102)</f>
        <v>Linear only</v>
      </c>
      <c r="E269" s="96"/>
    </row>
    <row r="270" spans="1:5">
      <c r="A270" s="93"/>
      <c r="B270" s="93"/>
      <c r="C270" s="79" t="s">
        <v>145</v>
      </c>
      <c r="D270" s="89" t="str">
        <f>IF($D$211="Not Used","","Support")</f>
        <v>Support</v>
      </c>
      <c r="E270" s="96"/>
    </row>
    <row r="271" spans="1:5">
      <c r="A271" s="94"/>
      <c r="B271" s="94"/>
      <c r="C271" s="79" t="s">
        <v>146</v>
      </c>
      <c r="D271" s="89" t="str">
        <f>IF($D$211="Not Used","","Support")</f>
        <v>Support</v>
      </c>
      <c r="E271" s="96"/>
    </row>
  </sheetData>
  <mergeCells count="27">
    <mergeCell ref="A1:B1"/>
    <mergeCell ref="C1:D1"/>
    <mergeCell ref="A2:C2"/>
    <mergeCell ref="A5:B5"/>
    <mergeCell ref="A8:B8"/>
    <mergeCell ref="A12:B12"/>
    <mergeCell ref="B13:C13"/>
    <mergeCell ref="A13:A237"/>
    <mergeCell ref="B14:B27"/>
    <mergeCell ref="B28:B41"/>
    <mergeCell ref="B42:B55"/>
    <mergeCell ref="B56:B69"/>
    <mergeCell ref="B70:B83"/>
    <mergeCell ref="B84:B97"/>
    <mergeCell ref="B98:B111"/>
    <mergeCell ref="B112:B125"/>
    <mergeCell ref="B126:B139"/>
    <mergeCell ref="B140:B153"/>
    <mergeCell ref="B154:B167"/>
    <mergeCell ref="B168:B181"/>
    <mergeCell ref="B182:B195"/>
    <mergeCell ref="B196:B209"/>
    <mergeCell ref="B210:B223"/>
    <mergeCell ref="B224:B237"/>
    <mergeCell ref="A3:B4"/>
    <mergeCell ref="A6:B7"/>
    <mergeCell ref="A9:B11"/>
  </mergeCells>
  <conditionalFormatting sqref="E25">
    <cfRule type="cellIs" dxfId="2" priority="13" operator="equal">
      <formula>"Not Used"</formula>
    </cfRule>
  </conditionalFormatting>
  <conditionalFormatting sqref="E39">
    <cfRule type="cellIs" dxfId="2" priority="12" operator="equal">
      <formula>"Not Used"</formula>
    </cfRule>
  </conditionalFormatting>
  <conditionalFormatting sqref="E53">
    <cfRule type="cellIs" dxfId="2" priority="11" operator="equal">
      <formula>"Not Used"</formula>
    </cfRule>
  </conditionalFormatting>
  <conditionalFormatting sqref="E67">
    <cfRule type="cellIs" dxfId="2" priority="10" operator="equal">
      <formula>"Not Used"</formula>
    </cfRule>
  </conditionalFormatting>
  <conditionalFormatting sqref="E81">
    <cfRule type="cellIs" dxfId="2" priority="9" operator="equal">
      <formula>"Not Used"</formula>
    </cfRule>
  </conditionalFormatting>
  <conditionalFormatting sqref="E95">
    <cfRule type="cellIs" dxfId="2" priority="8" operator="equal">
      <formula>"Not Used"</formula>
    </cfRule>
  </conditionalFormatting>
  <conditionalFormatting sqref="E109">
    <cfRule type="cellIs" dxfId="2" priority="7" operator="equal">
      <formula>"Not Used"</formula>
    </cfRule>
  </conditionalFormatting>
  <conditionalFormatting sqref="E123">
    <cfRule type="cellIs" dxfId="2" priority="6" operator="equal">
      <formula>"Not Used"</formula>
    </cfRule>
  </conditionalFormatting>
  <conditionalFormatting sqref="E137">
    <cfRule type="cellIs" dxfId="2" priority="5" operator="equal">
      <formula>"Not Used"</formula>
    </cfRule>
  </conditionalFormatting>
  <conditionalFormatting sqref="E151">
    <cfRule type="cellIs" dxfId="2" priority="4" operator="equal">
      <formula>"Not Used"</formula>
    </cfRule>
  </conditionalFormatting>
  <conditionalFormatting sqref="E165">
    <cfRule type="cellIs" dxfId="2" priority="3" operator="equal">
      <formula>"Not Used"</formula>
    </cfRule>
  </conditionalFormatting>
  <conditionalFormatting sqref="E179">
    <cfRule type="cellIs" dxfId="2" priority="2" operator="equal">
      <formula>"Not Used"</formula>
    </cfRule>
  </conditionalFormatting>
  <conditionalFormatting sqref="D$1:D$1048576">
    <cfRule type="cellIs" dxfId="3" priority="14" operator="equal">
      <formula>"Not Support"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tabSelected="1" zoomScale="115" zoomScaleNormal="115" workbookViewId="0">
      <selection activeCell="B23" sqref="B23"/>
    </sheetView>
  </sheetViews>
  <sheetFormatPr defaultColWidth="8.625" defaultRowHeight="12.75" outlineLevelCol="3"/>
  <cols>
    <col min="1" max="1" width="31.375" style="36" customWidth="1"/>
    <col min="2" max="2" width="74.3666666666667" style="36" customWidth="1"/>
    <col min="3" max="3" width="17.7083333333333" style="36" customWidth="1"/>
    <col min="4" max="4" width="61.5" style="36" customWidth="1"/>
    <col min="5" max="16384" width="8.625" style="36"/>
  </cols>
  <sheetData>
    <row r="1" ht="17.25" customHeight="1" spans="1:4">
      <c r="A1" s="47"/>
      <c r="B1" s="48"/>
      <c r="C1" s="48"/>
      <c r="D1" s="48"/>
    </row>
    <row r="2" spans="1:4">
      <c r="A2" s="49" t="s">
        <v>147</v>
      </c>
      <c r="B2" s="49" t="s">
        <v>148</v>
      </c>
      <c r="C2" s="49" t="s">
        <v>149</v>
      </c>
      <c r="D2" s="49" t="s">
        <v>100</v>
      </c>
    </row>
    <row r="3" ht="16.5" spans="1:4">
      <c r="A3" s="73" t="s">
        <v>150</v>
      </c>
      <c r="B3" s="57" t="s">
        <v>151</v>
      </c>
      <c r="C3" s="38"/>
      <c r="D3" s="38" t="s">
        <v>152</v>
      </c>
    </row>
    <row r="4" ht="16.5" spans="1:4">
      <c r="A4" s="73" t="s">
        <v>153</v>
      </c>
      <c r="B4" s="57" t="s">
        <v>154</v>
      </c>
      <c r="C4" s="38"/>
      <c r="D4" s="38" t="s">
        <v>152</v>
      </c>
    </row>
    <row r="5" ht="16.5" spans="1:4">
      <c r="A5" s="73" t="s">
        <v>155</v>
      </c>
      <c r="B5" s="57" t="s">
        <v>156</v>
      </c>
      <c r="C5" s="38"/>
      <c r="D5" s="38" t="s">
        <v>152</v>
      </c>
    </row>
    <row r="6" ht="16.5" spans="1:4">
      <c r="A6" s="73" t="s">
        <v>157</v>
      </c>
      <c r="B6" s="57" t="s">
        <v>158</v>
      </c>
      <c r="C6" s="38"/>
      <c r="D6" s="38" t="s">
        <v>152</v>
      </c>
    </row>
    <row r="7" ht="16.5" spans="1:4">
      <c r="A7" s="38" t="s">
        <v>159</v>
      </c>
      <c r="B7" s="57" t="s">
        <v>160</v>
      </c>
      <c r="C7" s="38"/>
      <c r="D7" s="38" t="s">
        <v>152</v>
      </c>
    </row>
    <row r="10" spans="1:4">
      <c r="A10" s="36" t="s">
        <v>161</v>
      </c>
    </row>
  </sheetData>
  <conditionalFormatting sqref="C2:D2">
    <cfRule type="expression" dxfId="0" priority="3">
      <formula>#REF!="Not Supported"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E15" sqref="E15"/>
    </sheetView>
  </sheetViews>
  <sheetFormatPr defaultColWidth="9" defaultRowHeight="14.25" outlineLevelRow="6" outlineLevelCol="4"/>
  <cols>
    <col min="1" max="1" width="25.5" customWidth="1"/>
    <col min="2" max="2" width="17.25" customWidth="1"/>
    <col min="3" max="3" width="7" customWidth="1"/>
    <col min="4" max="4" width="54.625" customWidth="1"/>
    <col min="5" max="5" width="22.5" customWidth="1"/>
  </cols>
  <sheetData>
    <row r="1" spans="1:5">
      <c r="A1" s="61" t="s">
        <v>162</v>
      </c>
      <c r="B1" s="61" t="s">
        <v>163</v>
      </c>
      <c r="C1" s="62"/>
      <c r="D1" s="61" t="s">
        <v>164</v>
      </c>
      <c r="E1" s="36"/>
    </row>
    <row r="2" spans="1:5">
      <c r="A2" s="63"/>
      <c r="B2" s="64">
        <v>46252</v>
      </c>
      <c r="C2" s="64"/>
      <c r="D2" s="64">
        <v>46265</v>
      </c>
      <c r="E2" s="36"/>
    </row>
    <row r="3" ht="15.75" spans="1:5">
      <c r="A3" s="65" t="s">
        <v>165</v>
      </c>
      <c r="B3" s="66" t="s">
        <v>166</v>
      </c>
      <c r="C3" s="66" t="s">
        <v>167</v>
      </c>
      <c r="D3" s="66" t="s">
        <v>2</v>
      </c>
      <c r="E3" s="67" t="s">
        <v>168</v>
      </c>
    </row>
    <row r="4" ht="47.25" spans="1:5">
      <c r="A4" s="68" t="s">
        <v>169</v>
      </c>
      <c r="B4" s="69" t="s">
        <v>170</v>
      </c>
      <c r="C4" s="69">
        <v>4</v>
      </c>
      <c r="D4" s="70" t="s">
        <v>171</v>
      </c>
      <c r="E4" s="71">
        <f t="shared" ref="E4:E7" si="0">$D$2+C4*7</f>
        <v>46293</v>
      </c>
    </row>
    <row r="5" ht="78.75" spans="1:5">
      <c r="A5" s="68" t="s">
        <v>172</v>
      </c>
      <c r="B5" s="72" t="s">
        <v>173</v>
      </c>
      <c r="C5" s="69">
        <v>13</v>
      </c>
      <c r="D5" s="70" t="s">
        <v>174</v>
      </c>
      <c r="E5" s="71">
        <f t="shared" si="0"/>
        <v>46356</v>
      </c>
    </row>
    <row r="6" ht="15.75" spans="1:5">
      <c r="A6" s="68" t="s">
        <v>175</v>
      </c>
      <c r="B6" s="72" t="s">
        <v>176</v>
      </c>
      <c r="C6" s="69">
        <v>15</v>
      </c>
      <c r="D6" s="70" t="s">
        <v>177</v>
      </c>
      <c r="E6" s="71">
        <f t="shared" si="0"/>
        <v>46370</v>
      </c>
    </row>
    <row r="7" ht="78.75" spans="1:5">
      <c r="A7" s="68" t="s">
        <v>178</v>
      </c>
      <c r="B7" s="72" t="s">
        <v>179</v>
      </c>
      <c r="C7" s="69">
        <v>20</v>
      </c>
      <c r="D7" s="70" t="s">
        <v>180</v>
      </c>
      <c r="E7" s="71">
        <f t="shared" si="0"/>
        <v>46405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showGridLines="0" zoomScale="130" zoomScaleNormal="130" topLeftCell="A51" workbookViewId="0">
      <selection activeCell="B95" sqref="B95"/>
    </sheetView>
  </sheetViews>
  <sheetFormatPr defaultColWidth="8.625" defaultRowHeight="12.75" outlineLevelCol="5"/>
  <cols>
    <col min="1" max="1" width="40.3833333333333" style="36" customWidth="1"/>
    <col min="2" max="2" width="46.7416666666667" style="36" customWidth="1"/>
    <col min="3" max="3" width="17.7083333333333" style="36" customWidth="1"/>
    <col min="4" max="4" width="52.5" style="36" customWidth="1"/>
    <col min="5" max="5" width="37.2083333333333" style="36" customWidth="1"/>
    <col min="6" max="6" width="20.7583333333333" style="36" customWidth="1"/>
    <col min="7" max="16384" width="8.625" style="36"/>
  </cols>
  <sheetData>
    <row r="1" spans="1:1">
      <c r="A1" s="37" t="s">
        <v>181</v>
      </c>
    </row>
    <row r="16" spans="1:1">
      <c r="A16" s="36" t="s">
        <v>182</v>
      </c>
    </row>
    <row r="17" spans="1:5">
      <c r="A17" s="36" t="s">
        <v>183</v>
      </c>
    </row>
    <row r="18" spans="1:5">
      <c r="A18" s="36" t="s">
        <v>184</v>
      </c>
    </row>
    <row r="19" spans="1:5">
      <c r="A19" s="36" t="s">
        <v>185</v>
      </c>
    </row>
    <row r="20" spans="1:5">
      <c r="A20" s="36" t="s">
        <v>186</v>
      </c>
    </row>
    <row r="22" spans="1:5">
      <c r="A22" s="36" t="s">
        <v>187</v>
      </c>
    </row>
    <row r="23" spans="1:5">
      <c r="A23" s="38" t="s">
        <v>188</v>
      </c>
      <c r="B23" s="38" t="s">
        <v>189</v>
      </c>
      <c r="C23" s="38" t="s">
        <v>190</v>
      </c>
      <c r="D23" s="38" t="s">
        <v>191</v>
      </c>
      <c r="E23" s="38" t="s">
        <v>192</v>
      </c>
    </row>
    <row r="24" spans="1:5">
      <c r="A24" s="39">
        <v>3840</v>
      </c>
      <c r="B24" s="39">
        <v>2400</v>
      </c>
      <c r="C24" s="39">
        <v>81</v>
      </c>
      <c r="D24" s="40">
        <f>(40*(B24-40-40)+40*A24)*1*C24/1024/1024*2</f>
        <v>38.067626953125</v>
      </c>
      <c r="E24" s="40">
        <f>A24*B24*C24*(2)/1024/1024/2</f>
        <v>711.9140625</v>
      </c>
    </row>
    <row r="25" spans="1:5">
      <c r="A25" s="39">
        <v>2880</v>
      </c>
      <c r="B25" s="39">
        <v>1800</v>
      </c>
      <c r="C25" s="39">
        <v>144</v>
      </c>
      <c r="D25" s="40">
        <f>(40*(B25-40-40)+40*A25)*1*C25/1024/1024*2</f>
        <v>50.537109375</v>
      </c>
      <c r="E25" s="40">
        <f>A25*B25*C25*(2)/1024/1024/2</f>
        <v>711.9140625</v>
      </c>
    </row>
    <row r="26" ht="26" customHeight="1" spans="1:5">
      <c r="A26" s="41" t="s">
        <v>193</v>
      </c>
      <c r="B26" s="41"/>
      <c r="C26" s="41"/>
      <c r="D26" s="41"/>
      <c r="E26" s="41"/>
    </row>
    <row r="27" spans="1:5">
      <c r="A27" s="42" t="s">
        <v>194</v>
      </c>
      <c r="B27" s="42"/>
      <c r="C27" s="42"/>
      <c r="D27" s="42"/>
      <c r="E27" s="42"/>
    </row>
    <row r="28" spans="1:5">
      <c r="A28" s="37" t="s">
        <v>195</v>
      </c>
    </row>
    <row r="29" spans="1:5">
      <c r="A29" s="36" t="s">
        <v>182</v>
      </c>
      <c r="B29" s="36" t="s">
        <v>196</v>
      </c>
    </row>
    <row r="30" spans="1:5">
      <c r="A30" s="43" t="s">
        <v>197</v>
      </c>
    </row>
    <row r="31" spans="1:5">
      <c r="A31" s="36" t="s">
        <v>198</v>
      </c>
      <c r="B31" s="36" t="s">
        <v>199</v>
      </c>
    </row>
    <row r="32" spans="1:5">
      <c r="A32" s="36" t="s">
        <v>200</v>
      </c>
      <c r="B32" s="36" t="s">
        <v>201</v>
      </c>
    </row>
    <row r="33" spans="1:4">
      <c r="A33" s="36" t="s">
        <v>202</v>
      </c>
      <c r="B33" s="36" t="s">
        <v>201</v>
      </c>
    </row>
    <row r="34" spans="1:4">
      <c r="A34" s="36" t="s">
        <v>203</v>
      </c>
      <c r="B34" s="36" t="s">
        <v>204</v>
      </c>
    </row>
    <row r="36" spans="1:4">
      <c r="A36" s="43" t="s">
        <v>205</v>
      </c>
    </row>
    <row r="37" spans="1:4">
      <c r="A37" s="36" t="s">
        <v>206</v>
      </c>
      <c r="B37" s="36" t="s">
        <v>207</v>
      </c>
    </row>
    <row r="38" spans="1:4">
      <c r="A38" s="44"/>
      <c r="B38" s="36" t="s">
        <v>208</v>
      </c>
    </row>
    <row r="40" spans="1:4">
      <c r="A40" s="37" t="s">
        <v>209</v>
      </c>
    </row>
    <row r="41" spans="1:4">
      <c r="A41" s="38" t="s">
        <v>210</v>
      </c>
      <c r="B41" s="38" t="s">
        <v>211</v>
      </c>
    </row>
    <row r="42" spans="1:4">
      <c r="A42" s="38" t="s">
        <v>212</v>
      </c>
      <c r="B42" s="38" t="s">
        <v>213</v>
      </c>
    </row>
    <row r="43" spans="1:4">
      <c r="A43" s="38" t="s">
        <v>214</v>
      </c>
      <c r="B43" s="38" t="s">
        <v>215</v>
      </c>
    </row>
    <row r="44" spans="1:4">
      <c r="A44" s="36" t="s">
        <v>216</v>
      </c>
    </row>
    <row r="45" ht="17.25" customHeight="1" spans="1:4">
      <c r="A45" s="45"/>
      <c r="B45" s="46"/>
      <c r="C45" s="46"/>
      <c r="D45" s="46"/>
    </row>
    <row r="46" ht="17.25" customHeight="1" spans="1:4">
      <c r="A46" s="47"/>
      <c r="B46" s="48"/>
      <c r="C46" s="48"/>
      <c r="D46" s="48"/>
    </row>
    <row r="47" spans="1:4">
      <c r="A47" s="49" t="s">
        <v>147</v>
      </c>
      <c r="B47" s="49" t="s">
        <v>148</v>
      </c>
      <c r="C47" s="49" t="s">
        <v>149</v>
      </c>
      <c r="D47" s="49" t="s">
        <v>100</v>
      </c>
    </row>
    <row r="48" ht="16.5" spans="1:4">
      <c r="A48" s="50" t="s">
        <v>217</v>
      </c>
      <c r="B48" s="50" t="s">
        <v>218</v>
      </c>
      <c r="C48" s="38" t="s">
        <v>219</v>
      </c>
      <c r="D48" s="51"/>
    </row>
    <row r="49" ht="16.5" spans="1:5">
      <c r="A49" s="50" t="s">
        <v>220</v>
      </c>
      <c r="B49" s="50" t="s">
        <v>221</v>
      </c>
      <c r="C49" s="38" t="s">
        <v>222</v>
      </c>
      <c r="D49" s="52" t="s">
        <v>223</v>
      </c>
    </row>
    <row r="50" ht="16.5" spans="1:5">
      <c r="A50" s="50" t="s">
        <v>224</v>
      </c>
      <c r="B50" s="50" t="s">
        <v>225</v>
      </c>
      <c r="C50" s="38"/>
      <c r="D50" s="51" t="s">
        <v>226</v>
      </c>
    </row>
    <row r="51" ht="16.5" spans="1:5">
      <c r="A51" s="50" t="s">
        <v>227</v>
      </c>
      <c r="B51" s="50" t="s">
        <v>228</v>
      </c>
      <c r="C51" s="38" t="s">
        <v>229</v>
      </c>
      <c r="D51" s="51"/>
    </row>
    <row r="52" ht="16.5" spans="1:5">
      <c r="A52" s="50" t="s">
        <v>230</v>
      </c>
      <c r="B52" s="50" t="s">
        <v>231</v>
      </c>
      <c r="C52" s="38"/>
      <c r="D52" s="51"/>
    </row>
    <row r="53" ht="66" spans="1:5">
      <c r="A53" s="53" t="s">
        <v>232</v>
      </c>
      <c r="B53" s="50" t="s">
        <v>233</v>
      </c>
      <c r="C53" s="38"/>
      <c r="D53" s="51" t="s">
        <v>234</v>
      </c>
      <c r="E53" s="54"/>
    </row>
    <row r="54" ht="16.5" spans="1:5">
      <c r="A54" s="55"/>
      <c r="B54" s="50" t="s">
        <v>235</v>
      </c>
      <c r="C54" s="38"/>
      <c r="D54" s="51" t="s">
        <v>236</v>
      </c>
    </row>
    <row r="55" ht="16.5" spans="1:5">
      <c r="A55" s="56"/>
      <c r="B55" s="50" t="s">
        <v>237</v>
      </c>
      <c r="C55" s="38"/>
      <c r="D55" s="57" t="s">
        <v>238</v>
      </c>
    </row>
    <row r="56" ht="16.5" spans="1:5">
      <c r="A56" s="50" t="s">
        <v>239</v>
      </c>
      <c r="B56" s="50" t="s">
        <v>240</v>
      </c>
      <c r="C56" s="38"/>
      <c r="D56" s="51" t="s">
        <v>241</v>
      </c>
    </row>
    <row r="57" ht="16.5" spans="1:5">
      <c r="A57" s="50" t="s">
        <v>242</v>
      </c>
      <c r="B57" s="50" t="s">
        <v>243</v>
      </c>
      <c r="C57" s="38"/>
      <c r="D57" s="51"/>
    </row>
    <row r="58" ht="16.5" spans="1:5">
      <c r="A58" s="50" t="s">
        <v>244</v>
      </c>
      <c r="B58" s="50" t="s">
        <v>245</v>
      </c>
      <c r="C58" s="38"/>
      <c r="D58" s="51"/>
    </row>
    <row r="59" ht="66" spans="1:5">
      <c r="A59" s="50" t="s">
        <v>246</v>
      </c>
      <c r="B59" s="50" t="s">
        <v>247</v>
      </c>
      <c r="C59" s="38"/>
      <c r="D59" s="51" t="s">
        <v>248</v>
      </c>
    </row>
    <row r="60" ht="16.5" spans="1:5">
      <c r="A60" s="50" t="s">
        <v>249</v>
      </c>
      <c r="B60" s="50" t="s">
        <v>250</v>
      </c>
      <c r="C60" s="38"/>
      <c r="D60" s="51"/>
    </row>
    <row r="61" ht="16.5" spans="1:5">
      <c r="A61" s="50" t="s">
        <v>251</v>
      </c>
      <c r="B61" s="50" t="s">
        <v>252</v>
      </c>
      <c r="C61" s="38"/>
      <c r="D61" s="51" t="s">
        <v>253</v>
      </c>
    </row>
    <row r="62" ht="132" spans="1:5">
      <c r="A62" s="50" t="s">
        <v>254</v>
      </c>
      <c r="B62" s="50" t="s">
        <v>255</v>
      </c>
      <c r="C62" s="38"/>
      <c r="D62" s="57" t="s">
        <v>256</v>
      </c>
    </row>
    <row r="63" ht="16.5" spans="1:5">
      <c r="A63" s="50" t="s">
        <v>257</v>
      </c>
      <c r="B63" s="50" t="s">
        <v>258</v>
      </c>
      <c r="C63" s="38"/>
      <c r="D63" s="51"/>
    </row>
    <row r="64" ht="33" spans="1:5">
      <c r="A64" s="50" t="s">
        <v>259</v>
      </c>
      <c r="B64" s="50" t="s">
        <v>260</v>
      </c>
      <c r="C64" s="38"/>
      <c r="D64" s="57" t="s">
        <v>261</v>
      </c>
    </row>
    <row r="65" ht="16.5" spans="1:4">
      <c r="A65" s="50" t="s">
        <v>262</v>
      </c>
      <c r="B65" s="50" t="s">
        <v>263</v>
      </c>
      <c r="C65" s="38"/>
      <c r="D65" s="51" t="s">
        <v>264</v>
      </c>
    </row>
    <row r="66" ht="16.5" spans="1:4">
      <c r="A66" s="50" t="s">
        <v>265</v>
      </c>
      <c r="B66" s="50" t="s">
        <v>266</v>
      </c>
      <c r="C66" s="38"/>
      <c r="D66" s="51" t="s">
        <v>267</v>
      </c>
    </row>
    <row r="67" ht="16.5" spans="1:4">
      <c r="A67" s="50" t="s">
        <v>268</v>
      </c>
      <c r="B67" s="50" t="s">
        <v>269</v>
      </c>
      <c r="C67" s="38"/>
      <c r="D67" s="51"/>
    </row>
    <row r="68" ht="16.5" spans="1:4">
      <c r="A68" s="50" t="s">
        <v>270</v>
      </c>
      <c r="B68" s="50" t="s">
        <v>271</v>
      </c>
      <c r="C68" s="38"/>
      <c r="D68" s="51"/>
    </row>
    <row r="69" ht="16.5" spans="1:4">
      <c r="A69" s="50" t="s">
        <v>272</v>
      </c>
      <c r="B69" s="50" t="s">
        <v>273</v>
      </c>
      <c r="C69" s="38"/>
      <c r="D69" s="51" t="s">
        <v>274</v>
      </c>
    </row>
    <row r="70" ht="16.5" spans="1:4">
      <c r="A70" s="50" t="s">
        <v>275</v>
      </c>
      <c r="B70" s="50" t="s">
        <v>276</v>
      </c>
      <c r="C70" s="38"/>
      <c r="D70" s="51" t="s">
        <v>277</v>
      </c>
    </row>
    <row r="71" ht="33" spans="1:4">
      <c r="A71" s="50" t="s">
        <v>278</v>
      </c>
      <c r="B71" s="50" t="s">
        <v>279</v>
      </c>
      <c r="C71" s="38"/>
      <c r="D71" s="58"/>
    </row>
    <row r="73" spans="1:4">
      <c r="A73" s="36" t="s">
        <v>280</v>
      </c>
    </row>
    <row r="80" spans="1:4">
      <c r="A80" s="36" t="s">
        <v>226</v>
      </c>
    </row>
    <row r="92" ht="14.25" spans="1:6">
      <c r="A92"/>
      <c r="B92"/>
      <c r="C92"/>
      <c r="D92"/>
      <c r="E92"/>
    </row>
    <row r="93" ht="14.25" spans="1:6">
      <c r="A93"/>
      <c r="B93"/>
      <c r="C93"/>
      <c r="D93"/>
      <c r="E93"/>
    </row>
    <row r="94" ht="14.25" spans="1:6">
      <c r="A94"/>
      <c r="B94"/>
      <c r="C94"/>
      <c r="D94"/>
      <c r="E94"/>
    </row>
    <row r="95" ht="14.25" spans="1:6">
      <c r="A95"/>
      <c r="B95"/>
      <c r="C95"/>
      <c r="D95"/>
      <c r="E95"/>
    </row>
    <row r="96" ht="14.25" spans="1:6">
      <c r="A96"/>
      <c r="B96"/>
      <c r="C96"/>
      <c r="D96"/>
      <c r="E96"/>
      <c r="F96" s="59"/>
    </row>
    <row r="97" ht="14.25" spans="1:6">
      <c r="A97"/>
      <c r="B97"/>
      <c r="C97"/>
      <c r="D97"/>
      <c r="E97"/>
    </row>
    <row r="98" ht="14.25" spans="1:6">
      <c r="A98"/>
      <c r="B98"/>
      <c r="C98"/>
      <c r="D98"/>
      <c r="E98"/>
      <c r="F98" s="60"/>
    </row>
    <row r="103" ht="14.25" spans="1:6">
      <c r="A103"/>
    </row>
  </sheetData>
  <mergeCells count="3">
    <mergeCell ref="A26:E26"/>
    <mergeCell ref="A27:E27"/>
    <mergeCell ref="A53:A55"/>
  </mergeCells>
  <conditionalFormatting sqref="C47:D47">
    <cfRule type="expression" dxfId="0" priority="1">
      <formula>#REF!="Not Supported"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drawing r:id="rId1"/>
  <legacyDrawing r:id="rId2"/>
  <oleObjects>
    <mc:AlternateContent xmlns:mc="http://schemas.openxmlformats.org/markup-compatibility/2006">
      <mc:Choice Requires="x14">
        <oleObject shapeId="1025" progId="Visio.Drawing.15" r:id="rId3">
          <objectPr defaultSize="0" r:id="rId4">
            <anchor moveWithCells="1">
              <from>
                <xdr:col>0</xdr:col>
                <xdr:colOff>375920</xdr:colOff>
                <xdr:row>1</xdr:row>
                <xdr:rowOff>12700</xdr:rowOff>
              </from>
              <to>
                <xdr:col>1</xdr:col>
                <xdr:colOff>2595880</xdr:colOff>
                <xdr:row>14</xdr:row>
                <xdr:rowOff>102235</xdr:rowOff>
              </to>
            </anchor>
          </objectPr>
        </oleObject>
      </mc:Choice>
      <mc:Fallback>
        <oleObject shapeId="1025" progId="Visio.Drawing.15" r:id="rId3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K13" sqref="K13"/>
    </sheetView>
  </sheetViews>
  <sheetFormatPr defaultColWidth="9" defaultRowHeight="14.25"/>
  <cols>
    <col min="1" max="1" width="22.5" customWidth="1"/>
    <col min="2" max="2" width="10.875" customWidth="1"/>
    <col min="3" max="3" width="11.1416666666667" customWidth="1"/>
    <col min="4" max="4" width="15.25" customWidth="1"/>
    <col min="5" max="6" width="13.375" customWidth="1"/>
    <col min="8" max="8" width="14.225" customWidth="1"/>
    <col min="9" max="9" width="14.2166666666667" customWidth="1"/>
    <col min="10" max="10" width="22.375" customWidth="1"/>
  </cols>
  <sheetData>
    <row r="1" ht="16.5" spans="1:10">
      <c r="A1" s="1" t="s">
        <v>281</v>
      </c>
      <c r="B1" s="2"/>
      <c r="C1" s="2"/>
      <c r="D1" s="2"/>
      <c r="E1" s="2"/>
      <c r="F1" s="3"/>
      <c r="G1" s="4"/>
      <c r="H1" s="5" t="s">
        <v>282</v>
      </c>
      <c r="I1" s="6"/>
      <c r="J1" s="7"/>
    </row>
    <row r="2" ht="32.25" spans="1:10">
      <c r="A2" s="8" t="s">
        <v>283</v>
      </c>
      <c r="B2" s="9" t="s">
        <v>284</v>
      </c>
      <c r="C2" s="8" t="s">
        <v>285</v>
      </c>
      <c r="D2" s="9" t="s">
        <v>286</v>
      </c>
      <c r="E2" s="10" t="s">
        <v>287</v>
      </c>
      <c r="F2" s="10" t="s">
        <v>288</v>
      </c>
      <c r="G2" s="4"/>
      <c r="H2" s="11" t="s">
        <v>283</v>
      </c>
      <c r="I2" s="12" t="s">
        <v>284</v>
      </c>
      <c r="J2" s="11" t="s">
        <v>285</v>
      </c>
    </row>
    <row r="3" ht="16.5" spans="1:10">
      <c r="A3" s="13" t="s">
        <v>289</v>
      </c>
      <c r="B3" s="14">
        <v>1</v>
      </c>
      <c r="C3" s="15" t="s">
        <v>290</v>
      </c>
      <c r="D3" s="16" t="s">
        <v>291</v>
      </c>
      <c r="E3" s="16" t="s">
        <v>58</v>
      </c>
      <c r="F3" s="16" t="s">
        <v>58</v>
      </c>
      <c r="G3" s="4"/>
      <c r="H3" s="17" t="s">
        <v>292</v>
      </c>
      <c r="I3" s="18">
        <v>1</v>
      </c>
      <c r="J3" s="19" t="s">
        <v>290</v>
      </c>
    </row>
    <row r="4" ht="16.5" spans="1:10">
      <c r="A4" s="20"/>
      <c r="B4" s="21"/>
      <c r="C4" s="15" t="s">
        <v>293</v>
      </c>
      <c r="D4" s="16" t="s">
        <v>58</v>
      </c>
      <c r="E4" s="16" t="s">
        <v>291</v>
      </c>
      <c r="F4" s="16" t="s">
        <v>58</v>
      </c>
      <c r="G4" s="4"/>
      <c r="H4" s="22" t="s">
        <v>294</v>
      </c>
      <c r="I4" s="23"/>
      <c r="J4" s="19"/>
    </row>
    <row r="5" ht="16.5" spans="1:10">
      <c r="A5" s="13" t="s">
        <v>295</v>
      </c>
      <c r="B5" s="24">
        <v>1</v>
      </c>
      <c r="C5" s="15" t="s">
        <v>290</v>
      </c>
      <c r="D5" s="16" t="s">
        <v>291</v>
      </c>
      <c r="E5" s="25" t="s">
        <v>58</v>
      </c>
      <c r="F5" s="16" t="s">
        <v>58</v>
      </c>
      <c r="G5" s="4"/>
      <c r="H5" s="22" t="s">
        <v>296</v>
      </c>
      <c r="I5" s="23"/>
      <c r="J5" s="19"/>
    </row>
    <row r="6" ht="16.5" spans="1:10">
      <c r="A6" s="20"/>
      <c r="B6" s="26"/>
      <c r="C6" s="15" t="s">
        <v>293</v>
      </c>
      <c r="D6" s="16" t="s">
        <v>58</v>
      </c>
      <c r="E6" s="16" t="s">
        <v>291</v>
      </c>
      <c r="F6" s="16" t="s">
        <v>58</v>
      </c>
      <c r="G6" s="4"/>
      <c r="H6" s="22" t="s">
        <v>297</v>
      </c>
      <c r="I6" s="23"/>
      <c r="J6" s="19"/>
    </row>
    <row r="7" ht="16.5" spans="1:10">
      <c r="A7" s="27" t="s">
        <v>292</v>
      </c>
      <c r="B7" s="27">
        <v>1</v>
      </c>
      <c r="C7" s="15" t="s">
        <v>290</v>
      </c>
      <c r="D7" s="16" t="s">
        <v>291</v>
      </c>
      <c r="E7" s="16" t="s">
        <v>58</v>
      </c>
      <c r="F7" s="16" t="s">
        <v>58</v>
      </c>
      <c r="G7" s="4"/>
      <c r="H7" s="17" t="s">
        <v>298</v>
      </c>
      <c r="I7" s="23"/>
      <c r="J7" s="19"/>
    </row>
    <row r="8" ht="16.5" spans="1:10">
      <c r="A8" s="27"/>
      <c r="B8" s="27"/>
      <c r="C8" s="15" t="s">
        <v>293</v>
      </c>
      <c r="D8" s="16" t="s">
        <v>58</v>
      </c>
      <c r="E8" s="16" t="s">
        <v>291</v>
      </c>
      <c r="F8" s="16" t="s">
        <v>58</v>
      </c>
      <c r="G8" s="4"/>
      <c r="H8" s="17" t="s">
        <v>299</v>
      </c>
      <c r="I8" s="23"/>
      <c r="J8" s="19"/>
    </row>
    <row r="9" ht="16.5" spans="1:10">
      <c r="A9" s="15" t="s">
        <v>294</v>
      </c>
      <c r="B9" s="27">
        <v>1</v>
      </c>
      <c r="C9" s="15" t="s">
        <v>290</v>
      </c>
      <c r="D9" s="16" t="s">
        <v>291</v>
      </c>
      <c r="E9" s="16" t="s">
        <v>58</v>
      </c>
      <c r="F9" s="16" t="s">
        <v>58</v>
      </c>
      <c r="G9" s="4"/>
      <c r="H9" s="22" t="s">
        <v>300</v>
      </c>
      <c r="I9" s="23"/>
      <c r="J9" s="19"/>
    </row>
    <row r="10" ht="16.5" spans="1:10">
      <c r="A10" s="15"/>
      <c r="B10" s="27"/>
      <c r="C10" s="15" t="s">
        <v>293</v>
      </c>
      <c r="D10" s="16" t="s">
        <v>58</v>
      </c>
      <c r="E10" s="16" t="s">
        <v>291</v>
      </c>
      <c r="F10" s="16" t="s">
        <v>58</v>
      </c>
      <c r="G10" s="4"/>
      <c r="H10" s="22" t="s">
        <v>301</v>
      </c>
      <c r="I10" s="23"/>
      <c r="J10" s="19"/>
    </row>
    <row r="11" ht="16.5" spans="1:10">
      <c r="A11" s="15" t="s">
        <v>296</v>
      </c>
      <c r="B11" s="27">
        <v>1</v>
      </c>
      <c r="C11" s="15" t="s">
        <v>290</v>
      </c>
      <c r="D11" s="16" t="s">
        <v>291</v>
      </c>
      <c r="E11" s="16" t="s">
        <v>58</v>
      </c>
      <c r="F11" s="16" t="s">
        <v>58</v>
      </c>
      <c r="G11" s="4"/>
      <c r="H11" s="22" t="s">
        <v>302</v>
      </c>
      <c r="I11" s="23"/>
      <c r="J11" s="19"/>
    </row>
    <row r="12" ht="16.5" spans="1:10">
      <c r="A12" s="15"/>
      <c r="B12" s="27"/>
      <c r="C12" s="15" t="s">
        <v>293</v>
      </c>
      <c r="D12" s="16" t="s">
        <v>58</v>
      </c>
      <c r="E12" s="16" t="s">
        <v>291</v>
      </c>
      <c r="F12" s="16" t="s">
        <v>58</v>
      </c>
      <c r="G12" s="4"/>
      <c r="H12" s="22" t="s">
        <v>295</v>
      </c>
      <c r="I12" s="28"/>
      <c r="J12" s="19"/>
    </row>
    <row r="13" ht="16.5" spans="1:10">
      <c r="A13" s="15" t="s">
        <v>297</v>
      </c>
      <c r="B13" s="27">
        <v>1</v>
      </c>
      <c r="C13" s="15" t="s">
        <v>290</v>
      </c>
      <c r="D13" s="16" t="s">
        <v>291</v>
      </c>
      <c r="E13" s="16" t="s">
        <v>58</v>
      </c>
      <c r="F13" s="16" t="s">
        <v>58</v>
      </c>
      <c r="G13" s="4"/>
      <c r="H13" s="22" t="s">
        <v>303</v>
      </c>
      <c r="I13" s="29">
        <v>2</v>
      </c>
      <c r="J13" s="19"/>
    </row>
    <row r="14" ht="16.5" spans="1:10">
      <c r="A14" s="15"/>
      <c r="B14" s="27"/>
      <c r="C14" s="15" t="s">
        <v>293</v>
      </c>
      <c r="D14" s="16" t="s">
        <v>58</v>
      </c>
      <c r="E14" s="16" t="s">
        <v>291</v>
      </c>
      <c r="F14" s="16" t="s">
        <v>58</v>
      </c>
      <c r="G14" s="4"/>
      <c r="H14" s="17" t="s">
        <v>304</v>
      </c>
      <c r="I14" s="29"/>
      <c r="J14" s="19"/>
    </row>
    <row r="15" ht="16.5" spans="1:10">
      <c r="A15" s="27" t="s">
        <v>305</v>
      </c>
      <c r="B15" s="27">
        <v>1</v>
      </c>
      <c r="C15" s="15" t="s">
        <v>290</v>
      </c>
      <c r="D15" s="16" t="s">
        <v>291</v>
      </c>
      <c r="E15" s="25" t="s">
        <v>58</v>
      </c>
      <c r="F15" s="16" t="s">
        <v>58</v>
      </c>
      <c r="G15" s="4"/>
      <c r="H15" s="22" t="s">
        <v>306</v>
      </c>
      <c r="I15" s="29"/>
      <c r="J15" s="19"/>
    </row>
    <row r="16" ht="16.5" spans="1:10">
      <c r="A16" s="27"/>
      <c r="B16" s="27">
        <v>1</v>
      </c>
      <c r="C16" s="15" t="s">
        <v>293</v>
      </c>
      <c r="D16" s="16" t="s">
        <v>58</v>
      </c>
      <c r="E16" s="16" t="s">
        <v>291</v>
      </c>
      <c r="F16" s="16" t="s">
        <v>58</v>
      </c>
      <c r="G16" s="4"/>
      <c r="H16" s="22" t="s">
        <v>307</v>
      </c>
      <c r="I16" s="29"/>
      <c r="J16" s="19"/>
    </row>
    <row r="17" ht="16.5" spans="1:10">
      <c r="A17" s="15" t="s">
        <v>300</v>
      </c>
      <c r="B17" s="27">
        <v>1</v>
      </c>
      <c r="C17" s="15" t="s">
        <v>290</v>
      </c>
      <c r="D17" s="16" t="s">
        <v>291</v>
      </c>
      <c r="E17" s="16" t="s">
        <v>58</v>
      </c>
      <c r="F17" s="16" t="s">
        <v>58</v>
      </c>
      <c r="G17" s="4"/>
      <c r="H17" s="4"/>
      <c r="I17" s="4"/>
      <c r="J17" s="4"/>
    </row>
    <row r="18" ht="16.5" spans="1:10">
      <c r="A18" s="15"/>
      <c r="B18" s="27"/>
      <c r="C18" s="15" t="s">
        <v>293</v>
      </c>
      <c r="D18" s="16" t="s">
        <v>58</v>
      </c>
      <c r="E18" s="16" t="s">
        <v>291</v>
      </c>
      <c r="F18" s="16" t="s">
        <v>58</v>
      </c>
      <c r="G18" s="4"/>
      <c r="H18" s="5" t="s">
        <v>308</v>
      </c>
      <c r="I18" s="6"/>
      <c r="J18" s="7"/>
    </row>
    <row r="19" ht="16.5" spans="1:10">
      <c r="A19" s="15"/>
      <c r="B19" s="27"/>
      <c r="C19" s="15"/>
      <c r="D19" s="16"/>
      <c r="E19" s="16"/>
      <c r="F19" s="16"/>
      <c r="G19" s="4"/>
      <c r="H19" s="8" t="s">
        <v>309</v>
      </c>
      <c r="I19" s="8" t="s">
        <v>283</v>
      </c>
      <c r="J19" s="9" t="s">
        <v>310</v>
      </c>
    </row>
    <row r="20" ht="16.5" spans="1:10">
      <c r="A20" s="15" t="s">
        <v>306</v>
      </c>
      <c r="B20" s="27">
        <v>2</v>
      </c>
      <c r="C20" s="15" t="s">
        <v>311</v>
      </c>
      <c r="D20" s="16" t="s">
        <v>58</v>
      </c>
      <c r="E20" s="16" t="s">
        <v>291</v>
      </c>
      <c r="F20" s="16" t="s">
        <v>58</v>
      </c>
      <c r="G20" s="4"/>
      <c r="H20" s="30" t="s">
        <v>312</v>
      </c>
      <c r="I20" s="13" t="s">
        <v>313</v>
      </c>
      <c r="J20" s="27">
        <v>8</v>
      </c>
    </row>
    <row r="21" ht="16.5" spans="1:10">
      <c r="A21" s="15" t="s">
        <v>314</v>
      </c>
      <c r="B21" s="27">
        <v>1</v>
      </c>
      <c r="C21" s="15" t="s">
        <v>315</v>
      </c>
      <c r="D21" s="16" t="s">
        <v>58</v>
      </c>
      <c r="E21" s="16" t="s">
        <v>291</v>
      </c>
      <c r="F21" s="16" t="s">
        <v>58</v>
      </c>
      <c r="G21" s="4"/>
      <c r="H21" s="31"/>
      <c r="I21" s="20"/>
      <c r="J21" s="27">
        <v>10</v>
      </c>
    </row>
    <row r="22" ht="16.5" spans="1:10">
      <c r="A22" s="15"/>
      <c r="B22" s="27">
        <v>1</v>
      </c>
      <c r="C22" s="15" t="s">
        <v>290</v>
      </c>
      <c r="D22" s="16" t="s">
        <v>291</v>
      </c>
      <c r="E22" s="16" t="s">
        <v>58</v>
      </c>
      <c r="F22" s="16" t="s">
        <v>58</v>
      </c>
      <c r="G22" s="4"/>
      <c r="H22" s="31"/>
      <c r="I22" s="15" t="s">
        <v>305</v>
      </c>
      <c r="J22" s="27">
        <v>8</v>
      </c>
    </row>
    <row r="23" ht="16.5" spans="1:10">
      <c r="A23" s="32" t="s">
        <v>316</v>
      </c>
      <c r="B23" s="27">
        <v>1</v>
      </c>
      <c r="C23" s="15" t="s">
        <v>290</v>
      </c>
      <c r="D23" s="16" t="s">
        <v>291</v>
      </c>
      <c r="E23" s="16" t="s">
        <v>58</v>
      </c>
      <c r="F23" s="16" t="s">
        <v>58</v>
      </c>
      <c r="G23" s="4"/>
      <c r="H23" s="33"/>
      <c r="I23" s="15" t="s">
        <v>317</v>
      </c>
      <c r="J23" s="27">
        <v>10</v>
      </c>
    </row>
    <row r="24" ht="16.5" spans="1:10">
      <c r="A24" s="32"/>
      <c r="B24" s="27">
        <v>1</v>
      </c>
      <c r="C24" s="15" t="s">
        <v>293</v>
      </c>
      <c r="D24" s="16" t="s">
        <v>58</v>
      </c>
      <c r="E24" s="16" t="s">
        <v>291</v>
      </c>
      <c r="F24" s="16" t="s">
        <v>58</v>
      </c>
      <c r="G24" s="4"/>
      <c r="H24" s="31" t="s">
        <v>318</v>
      </c>
      <c r="I24" s="13" t="s">
        <v>319</v>
      </c>
      <c r="J24" s="27">
        <v>8</v>
      </c>
    </row>
    <row r="25" ht="16.5" spans="1:10">
      <c r="A25" s="15" t="s">
        <v>307</v>
      </c>
      <c r="B25" s="27">
        <v>2</v>
      </c>
      <c r="C25" s="15" t="s">
        <v>290</v>
      </c>
      <c r="D25" s="16" t="s">
        <v>291</v>
      </c>
      <c r="E25" s="16" t="s">
        <v>291</v>
      </c>
      <c r="F25" s="16" t="s">
        <v>58</v>
      </c>
      <c r="G25" s="4"/>
      <c r="H25" s="31"/>
      <c r="I25" s="20"/>
      <c r="J25" s="27">
        <v>10</v>
      </c>
    </row>
    <row r="26" ht="16.5" spans="1:10">
      <c r="A26" s="32" t="s">
        <v>320</v>
      </c>
      <c r="B26" s="27">
        <v>1</v>
      </c>
      <c r="C26" s="15" t="s">
        <v>290</v>
      </c>
      <c r="D26" s="16" t="s">
        <v>291</v>
      </c>
      <c r="E26" s="16" t="s">
        <v>58</v>
      </c>
      <c r="F26" s="16" t="s">
        <v>58</v>
      </c>
      <c r="G26" s="4"/>
      <c r="H26" s="31"/>
      <c r="I26" s="13" t="s">
        <v>313</v>
      </c>
      <c r="J26" s="27">
        <v>8</v>
      </c>
    </row>
    <row r="27" ht="16.5" spans="1:10">
      <c r="A27" s="32"/>
      <c r="B27" s="27">
        <v>1</v>
      </c>
      <c r="C27" s="15" t="s">
        <v>293</v>
      </c>
      <c r="D27" s="16" t="s">
        <v>58</v>
      </c>
      <c r="E27" s="16" t="s">
        <v>291</v>
      </c>
      <c r="F27" s="16" t="s">
        <v>58</v>
      </c>
      <c r="G27" s="4"/>
      <c r="H27" s="31"/>
      <c r="I27" s="20"/>
      <c r="J27" s="27">
        <v>10</v>
      </c>
    </row>
    <row r="28" ht="16.5" spans="1:10">
      <c r="A28" s="15" t="s">
        <v>321</v>
      </c>
      <c r="B28" s="27">
        <v>1</v>
      </c>
      <c r="C28" s="15" t="s">
        <v>290</v>
      </c>
      <c r="D28" s="16" t="s">
        <v>291</v>
      </c>
      <c r="E28" s="16" t="s">
        <v>58</v>
      </c>
      <c r="F28" s="16" t="s">
        <v>58</v>
      </c>
      <c r="G28" s="4"/>
      <c r="H28" s="31"/>
      <c r="I28" s="15" t="s">
        <v>305</v>
      </c>
      <c r="J28" s="27">
        <v>8</v>
      </c>
    </row>
    <row r="29" ht="16.5" spans="1:10">
      <c r="A29" s="15"/>
      <c r="B29" s="27"/>
      <c r="C29" s="15"/>
      <c r="D29" s="16"/>
      <c r="E29" s="16"/>
      <c r="F29" s="16"/>
      <c r="G29" s="4"/>
      <c r="H29" s="33"/>
      <c r="I29" s="15" t="s">
        <v>317</v>
      </c>
      <c r="J29" s="27">
        <v>10</v>
      </c>
    </row>
    <row r="31" ht="15.75" spans="1:10">
      <c r="A31" s="34" t="s">
        <v>58</v>
      </c>
      <c r="B31" s="35" t="s">
        <v>322</v>
      </c>
    </row>
  </sheetData>
  <mergeCells count="29">
    <mergeCell ref="A1:F1"/>
    <mergeCell ref="H1:J1"/>
    <mergeCell ref="H18:J18"/>
    <mergeCell ref="A3:A4"/>
    <mergeCell ref="A5:A6"/>
    <mergeCell ref="A7:A8"/>
    <mergeCell ref="A9:A10"/>
    <mergeCell ref="A11:A12"/>
    <mergeCell ref="A13:A14"/>
    <mergeCell ref="A15:A16"/>
    <mergeCell ref="A17:A18"/>
    <mergeCell ref="A21:A22"/>
    <mergeCell ref="A23:A24"/>
    <mergeCell ref="A26:A27"/>
    <mergeCell ref="B3:B4"/>
    <mergeCell ref="B5:B6"/>
    <mergeCell ref="B7:B8"/>
    <mergeCell ref="B9:B10"/>
    <mergeCell ref="B11:B12"/>
    <mergeCell ref="B13:B14"/>
    <mergeCell ref="B17:B18"/>
    <mergeCell ref="H20:H23"/>
    <mergeCell ref="H24:H29"/>
    <mergeCell ref="I3:I12"/>
    <mergeCell ref="I13:I16"/>
    <mergeCell ref="I20:I21"/>
    <mergeCell ref="I24:I25"/>
    <mergeCell ref="I26:I27"/>
    <mergeCell ref="J3:J16"/>
  </mergeCells>
  <conditionalFormatting sqref="A31">
    <cfRule type="cellIs" dxfId="4" priority="1" operator="equal">
      <formula>"Not support"</formula>
    </cfRule>
  </conditionalFormatting>
  <conditionalFormatting sqref="A1:J29">
    <cfRule type="cellIs" dxfId="4" priority="2" operator="equal">
      <formula>"Not support"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Version</vt:lpstr>
      <vt:lpstr>UserGuide</vt:lpstr>
      <vt:lpstr>General</vt:lpstr>
      <vt:lpstr>Configuration</vt:lpstr>
      <vt:lpstr>ProductFeatureList</vt:lpstr>
      <vt:lpstr>CR</vt:lpstr>
      <vt:lpstr>Schedule</vt:lpstr>
      <vt:lpstr>Discussion record</vt:lpstr>
      <vt:lpstr>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HXH</cp:lastModifiedBy>
  <cp:revision>0</cp:revision>
  <dcterms:created xsi:type="dcterms:W3CDTF">2015-06-05T18:17:00Z</dcterms:created>
  <dcterms:modified xsi:type="dcterms:W3CDTF">2026-09-01T06:58:33Z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ContentTypeId">
    <vt:lpwstr>0x01010009434913A027524CA75009E3E2690B65</vt:lpwstr>
  </property>
  <property fmtid="{D5CDD505-2E9C-101B-9397-08002B2CF9AE}" pid="4" name="ICV">
    <vt:lpwstr>90A08C40A2554C1FBD177468EE922460_13</vt:lpwstr>
  </property>
  <property fmtid="{D5CDD505-2E9C-101B-9397-08002B2CF9AE}" pid="5" name="KSOProductBuildVer">
    <vt:lpwstr>2052-12.1.0.28043</vt:lpwstr>
  </property>
</Properties>
</file>