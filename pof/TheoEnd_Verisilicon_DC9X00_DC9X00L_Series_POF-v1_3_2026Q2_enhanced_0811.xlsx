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eepr\WPSDrive\267320617\WPS云盘\Work\01_Customer_客户流\001. PreSales\2026Q3 TheoEnd\"/>
    </mc:Choice>
  </mc:AlternateContent>
  <bookViews>
    <workbookView windowWidth="27945" windowHeight="12255" tabRatio="500" firstSheet="1" activeTab="4"/>
  </bookViews>
  <sheets>
    <sheet name="Version" sheetId="1" r:id="rId1"/>
    <sheet name="UserGuide" sheetId="2" r:id="rId2"/>
    <sheet name="General" sheetId="3" r:id="rId3"/>
    <sheet name="Configuration" sheetId="4" r:id="rId4"/>
    <sheet name="ProductFeatureList" sheetId="7" r:id="rId5"/>
    <sheet name="CR" sheetId="6" r:id="rId6"/>
    <sheet name="QA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<sst xmlns="http://schemas.openxmlformats.org/spreadsheetml/2006/main" count="513" uniqueCount="161">
  <si>
    <t>Vivante DC9X00L series - Product Order Form</t>
  </si>
  <si>
    <t xml:space="preserve">Version </t>
  </si>
  <si>
    <t>Description</t>
  </si>
  <si>
    <t>Date</t>
  </si>
  <si>
    <t>This is a guide for how to use the POF file</t>
  </si>
  <si>
    <t>"Version" sheet: the page to track the POF file version</t>
  </si>
  <si>
    <t>"UserGuide" sheet: This page gives the user guide to use the POF file</t>
  </si>
  <si>
    <t>"General" sheet: Some basic general information of the project</t>
  </si>
  <si>
    <t>"Configuration" sheet: Hardware configuration options</t>
  </si>
  <si>
    <r>
      <rPr>
        <sz val="10"/>
        <color theme="1"/>
        <rFont val="Calibri"/>
        <charset val="134"/>
      </rPr>
      <t xml:space="preserve">"ProductFeatureList" sheet: This is a read-only sheet to show the complete feature list, including configurable and not configurable ones
                                                  </t>
    </r>
    <r>
      <rPr>
        <sz val="10"/>
        <color rgb="FFFF0000"/>
        <rFont val="Calibri"/>
        <charset val="134"/>
      </rPr>
      <t>Notice that ,this sheet is the final result of this IP</t>
    </r>
  </si>
  <si>
    <t>"CR" sheet: This sheet is used for recording customer request on IP product customization change</t>
  </si>
  <si>
    <t>Please fill necessary project information below, for general reference purpose</t>
  </si>
  <si>
    <t>General Information</t>
  </si>
  <si>
    <t>Customer's Answer</t>
  </si>
  <si>
    <t>Answer Example</t>
  </si>
  <si>
    <t>Company name</t>
  </si>
  <si>
    <t>ABC Corp.</t>
  </si>
  <si>
    <t>Project name or identifier</t>
  </si>
  <si>
    <t>Aspen201</t>
  </si>
  <si>
    <t>Target process (e.g. TSMC N7)</t>
  </si>
  <si>
    <t>TSMC N7</t>
  </si>
  <si>
    <t>Target RTL freeze date</t>
  </si>
  <si>
    <t>Mid December, 2024</t>
  </si>
  <si>
    <t>Target tape out date</t>
  </si>
  <si>
    <t>End August, 2025</t>
  </si>
  <si>
    <t>Host OS (e.g. Linux 3.10)</t>
  </si>
  <si>
    <t>Linux 6.6</t>
  </si>
  <si>
    <t>Product Order Form for DC9X00 Series Display Controller IP</t>
  </si>
  <si>
    <t>Category</t>
  </si>
  <si>
    <t>DC9X00/DC9X00L Series Product Features</t>
  </si>
  <si>
    <t>Customer Config</t>
  </si>
  <si>
    <t>Impact by Feature</t>
  </si>
  <si>
    <t>Customer Comments</t>
  </si>
  <si>
    <t>VSI Comments</t>
  </si>
  <si>
    <t>Pixel Throughput</t>
  </si>
  <si>
    <t>Pixel per Cycle</t>
  </si>
  <si>
    <r>
      <rPr>
        <sz val="10"/>
        <color theme="1"/>
        <rFont val="宋体"/>
        <charset val="134"/>
      </rPr>
      <t>单条流水线性能，可满足4</t>
    </r>
    <r>
      <rPr>
        <sz val="10"/>
        <color theme="1"/>
        <rFont val="Calibri"/>
        <charset val="134"/>
      </rPr>
      <t>K120fps</t>
    </r>
  </si>
  <si>
    <t>1ppc DC9x00L
2ppc DC9x00</t>
  </si>
  <si>
    <t>4K120FPS
Core clock 1.2G without splice mode 
Core clock 600MHz with splice mode 
Pixel clock 300MHz(4ppc port)</t>
  </si>
  <si>
    <t>Pixel Pre-processing</t>
  </si>
  <si>
    <t>Video Layers</t>
  </si>
  <si>
    <r>
      <rPr>
        <sz val="10"/>
        <color theme="1"/>
        <rFont val="宋体"/>
        <charset val="134"/>
      </rPr>
      <t>比</t>
    </r>
    <r>
      <rPr>
        <sz val="10"/>
        <color theme="1"/>
        <rFont val="Calibri"/>
        <charset val="134"/>
      </rPr>
      <t>graphic layer</t>
    </r>
    <r>
      <rPr>
        <sz val="10"/>
        <color theme="1"/>
        <rFont val="宋体"/>
        <charset val="134"/>
      </rPr>
      <t>多出</t>
    </r>
    <r>
      <rPr>
        <sz val="10"/>
        <color theme="1"/>
        <rFont val="Calibri"/>
        <charset val="134"/>
      </rPr>
      <t>YUV</t>
    </r>
    <r>
      <rPr>
        <sz val="10"/>
        <color theme="1"/>
        <rFont val="宋体"/>
        <charset val="134"/>
      </rPr>
      <t>格式，最完善的</t>
    </r>
    <r>
      <rPr>
        <sz val="10"/>
        <color theme="1"/>
        <rFont val="Calibri"/>
        <charset val="134"/>
      </rPr>
      <t>layer</t>
    </r>
    <r>
      <rPr>
        <sz val="10"/>
        <color theme="1"/>
        <rFont val="宋体"/>
        <charset val="134"/>
      </rPr>
      <t>。</t>
    </r>
  </si>
  <si>
    <t>Layer number configrable; Default 1;
YUV+RGB format;
Tile/Rotation/FlipX,Y/Scaler;
Fetch up to 4 images from memory by one layer without overlap in vertical (SuperDMA1.0)</t>
  </si>
  <si>
    <t>Graphic Layers</t>
  </si>
  <si>
    <r>
      <rPr>
        <sz val="10"/>
        <color theme="1"/>
        <rFont val="宋体"/>
        <charset val="134"/>
      </rPr>
      <t>普通</t>
    </r>
    <r>
      <rPr>
        <sz val="10"/>
        <color theme="1"/>
        <rFont val="Calibri"/>
        <charset val="134"/>
      </rPr>
      <t>layer</t>
    </r>
    <r>
      <rPr>
        <sz val="10"/>
        <color theme="1"/>
        <rFont val="宋体"/>
        <charset val="134"/>
      </rPr>
      <t>。</t>
    </r>
    <r>
      <rPr>
        <sz val="10"/>
        <color theme="1"/>
        <rFont val="Calibri"/>
        <charset val="134"/>
      </rPr>
      <t xml:space="preserve">Graphic layer </t>
    </r>
    <r>
      <rPr>
        <sz val="10"/>
        <color theme="1"/>
        <rFont val="宋体"/>
        <charset val="134"/>
      </rPr>
      <t xml:space="preserve">和 </t>
    </r>
    <r>
      <rPr>
        <sz val="10"/>
        <color theme="1"/>
        <rFont val="Calibri"/>
        <charset val="134"/>
      </rPr>
      <t xml:space="preserve">video layer </t>
    </r>
    <r>
      <rPr>
        <sz val="10"/>
        <color theme="1"/>
        <rFont val="宋体"/>
        <charset val="134"/>
      </rPr>
      <t>分别选用 4 个。如面积超出，可进行删减。</t>
    </r>
  </si>
  <si>
    <r>
      <rPr>
        <sz val="10"/>
        <color theme="1"/>
        <rFont val="Calibri"/>
        <charset val="134"/>
      </rPr>
      <t>Layer number configrable; Default 0;
RGB format only ;
Tile/</t>
    </r>
    <r>
      <rPr>
        <sz val="10"/>
        <color rgb="FFFF0000"/>
        <rFont val="Calibri"/>
        <charset val="134"/>
      </rPr>
      <t>No Rotation</t>
    </r>
    <r>
      <rPr>
        <sz val="10"/>
        <color theme="1"/>
        <rFont val="Calibri"/>
        <charset val="134"/>
      </rPr>
      <t>/FlipX,Y/Scaler;
Fetch up to 4 images from memory by one layer without overlap in vertical (SuperDMA1.0)</t>
    </r>
  </si>
  <si>
    <t>Simple Layers</t>
  </si>
  <si>
    <t>不选用。</t>
  </si>
  <si>
    <t>Layer number configrable; Default 1;
Linear YUV+RGB format;
Flip X,Y;
No Tile/No Rotation/No Scaler in default config;
Fetch up to 4 images from memory by one layer without overlap in vertical (SuperDMA1.0)
No Decompression</t>
  </si>
  <si>
    <t>Cursor Layers</t>
  </si>
  <si>
    <t>对应4个屏幕</t>
  </si>
  <si>
    <t>Max size 256x256, ARGB8 Linear</t>
  </si>
  <si>
    <t>Pixel Post-processing</t>
  </si>
  <si>
    <t>Max Output devices support</t>
  </si>
  <si>
    <t>输出4个屏幕</t>
  </si>
  <si>
    <t>DeCompression</t>
  </si>
  <si>
    <t>Input frame buffer decompression</t>
  </si>
  <si>
    <t>DEC400</t>
  </si>
  <si>
    <t>选用。</t>
  </si>
  <si>
    <t>AXI interface</t>
  </si>
  <si>
    <t>256bits</t>
  </si>
  <si>
    <t>Per-Layer Type Configuration (configure each layer independently)</t>
  </si>
  <si>
    <t>Layer ID</t>
  </si>
  <si>
    <t>Configure</t>
  </si>
  <si>
    <t>Layer0</t>
  </si>
  <si>
    <t>Layer Type</t>
  </si>
  <si>
    <t>Compression</t>
  </si>
  <si>
    <t>Support</t>
  </si>
  <si>
    <t>HDR</t>
  </si>
  <si>
    <t>Scaler</t>
  </si>
  <si>
    <t>Layer1</t>
  </si>
  <si>
    <t>Layer2</t>
  </si>
  <si>
    <t>Layer3</t>
  </si>
  <si>
    <t>Layer4</t>
  </si>
  <si>
    <t>Not Support</t>
  </si>
  <si>
    <t>Layer5</t>
  </si>
  <si>
    <t>Layer6</t>
  </si>
  <si>
    <t>Layer7</t>
  </si>
  <si>
    <t>Layer8</t>
  </si>
  <si>
    <t>Layer9</t>
  </si>
  <si>
    <t>Layer10</t>
  </si>
  <si>
    <t>Layer11</t>
  </si>
  <si>
    <t>Per-PostProcessing Pipeline Configuration (configure each pipeline independently)</t>
  </si>
  <si>
    <t>PostProcess ID</t>
  </si>
  <si>
    <t>PostProcess0</t>
  </si>
  <si>
    <t xml:space="preserve">Configure </t>
  </si>
  <si>
    <t>Degamma+CCM</t>
  </si>
  <si>
    <t>Post-Scaler</t>
  </si>
  <si>
    <t>LTM</t>
  </si>
  <si>
    <t>Sharpness</t>
  </si>
  <si>
    <t>3DLUT</t>
  </si>
  <si>
    <t>PostProcess1</t>
  </si>
  <si>
    <t>PostProcess2</t>
  </si>
  <si>
    <t>PostProcess3</t>
  </si>
  <si>
    <t>Write-back</t>
  </si>
  <si>
    <t>Pipeline num</t>
  </si>
  <si>
    <t>Tilemode</t>
  </si>
  <si>
    <t>Tile &amp; Linear</t>
  </si>
  <si>
    <t>Scenario</t>
  </si>
  <si>
    <t>On-Line&amp;Offline write back</t>
  </si>
  <si>
    <t>Customer-configurable options</t>
  </si>
  <si>
    <t>VSI Comment</t>
  </si>
  <si>
    <t>IP Version</t>
  </si>
  <si>
    <t>Display Throughput
(Resolution@Frame Rate)</t>
  </si>
  <si>
    <t>Max Display Resolution for Single Display</t>
  </si>
  <si>
    <t>Max Display Resolution for Multiple Display</t>
  </si>
  <si>
    <t>Multi-Display splice mode</t>
  </si>
  <si>
    <t>Pixel Thoughput</t>
  </si>
  <si>
    <t>Pixel Rate (Pixels per Cycle)</t>
  </si>
  <si>
    <t>HW Resource</t>
  </si>
  <si>
    <t>Decompression</t>
  </si>
  <si>
    <t>Data BUS</t>
  </si>
  <si>
    <t>AXI4.0 address width</t>
  </si>
  <si>
    <t>48bit</t>
  </si>
  <si>
    <t>For Pixel Pre-processing</t>
  </si>
  <si>
    <t>AXI4.0 read interface</t>
  </si>
  <si>
    <t>AXI4.0 write interface</t>
  </si>
  <si>
    <t>For Write Back</t>
  </si>
  <si>
    <t>Config BUS</t>
  </si>
  <si>
    <t>APB3.0 interface</t>
  </si>
  <si>
    <t>Cursor Layer</t>
  </si>
  <si>
    <t>Layer type</t>
  </si>
  <si>
    <t>Format</t>
  </si>
  <si>
    <t>Max resolution</t>
  </si>
  <si>
    <t>Rotation with tile input formats</t>
  </si>
  <si>
    <t>Rotation 90°/180°/270°</t>
  </si>
  <si>
    <t>Flip</t>
  </si>
  <si>
    <t>Flip Y/Flip X/ Flip X&amp;Flip Y</t>
  </si>
  <si>
    <t>Color Key</t>
  </si>
  <si>
    <t>Crop</t>
  </si>
  <si>
    <t>Swizzle</t>
  </si>
  <si>
    <t>YUV2RGB</t>
  </si>
  <si>
    <t>Solid color</t>
  </si>
  <si>
    <t>Blender</t>
  </si>
  <si>
    <t>layers Alpha blending</t>
  </si>
  <si>
    <t>PostProc0</t>
  </si>
  <si>
    <t>Enable</t>
  </si>
  <si>
    <t>DP/DSI sw programmable</t>
  </si>
  <si>
    <t>Gamma</t>
  </si>
  <si>
    <t>PostProc1</t>
  </si>
  <si>
    <t>PostProc2</t>
  </si>
  <si>
    <t>PostProc3</t>
  </si>
  <si>
    <t>Write back</t>
  </si>
  <si>
    <t>RGB2YUV</t>
  </si>
  <si>
    <t>DownSample</t>
  </si>
  <si>
    <t>Feature</t>
  </si>
  <si>
    <t xml:space="preserve">Requests Descriptions </t>
  </si>
  <si>
    <t>Customer Comment</t>
  </si>
  <si>
    <r>
      <rPr>
        <b/>
        <sz val="16"/>
        <color theme="0"/>
        <rFont val="宋体"/>
        <charset val="134"/>
      </rPr>
      <t>遗留问题</t>
    </r>
  </si>
  <si>
    <t>comments</t>
  </si>
  <si>
    <r>
      <rPr>
        <sz val="16"/>
        <color theme="1"/>
        <rFont val="Calibri"/>
        <charset val="134"/>
      </rPr>
      <t xml:space="preserve">video layer </t>
    </r>
    <r>
      <rPr>
        <sz val="16"/>
        <color theme="1"/>
        <rFont val="宋体"/>
        <charset val="134"/>
      </rPr>
      <t>和</t>
    </r>
    <r>
      <rPr>
        <sz val="16"/>
        <color theme="1"/>
        <rFont val="Calibri"/>
        <charset val="134"/>
      </rPr>
      <t xml:space="preserve"> graphic layer </t>
    </r>
    <r>
      <rPr>
        <sz val="16"/>
        <color theme="1"/>
        <rFont val="宋体"/>
        <charset val="134"/>
      </rPr>
      <t>的区别？如果是只差</t>
    </r>
    <r>
      <rPr>
        <sz val="16"/>
        <color theme="1"/>
        <rFont val="Calibri"/>
        <charset val="134"/>
      </rPr>
      <t>YUV</t>
    </r>
    <r>
      <rPr>
        <sz val="16"/>
        <color theme="1"/>
        <rFont val="宋体"/>
        <charset val="134"/>
      </rPr>
      <t>到</t>
    </r>
    <r>
      <rPr>
        <sz val="16"/>
        <color theme="1"/>
        <rFont val="Calibri"/>
        <charset val="134"/>
      </rPr>
      <t>RGB</t>
    </r>
    <r>
      <rPr>
        <sz val="16"/>
        <color theme="1"/>
        <rFont val="宋体"/>
        <charset val="134"/>
      </rPr>
      <t>的转换，是否在</t>
    </r>
    <r>
      <rPr>
        <sz val="16"/>
        <color theme="1"/>
        <rFont val="Calibri"/>
        <charset val="134"/>
      </rPr>
      <t>VPU</t>
    </r>
    <r>
      <rPr>
        <sz val="16"/>
        <color theme="1"/>
        <rFont val="宋体"/>
        <charset val="134"/>
      </rPr>
      <t>中</t>
    </r>
    <r>
      <rPr>
        <sz val="16"/>
        <color theme="1"/>
        <rFont val="Calibri"/>
        <charset val="134"/>
      </rPr>
      <t xml:space="preserve">post-processing </t>
    </r>
    <r>
      <rPr>
        <sz val="16"/>
        <color theme="1"/>
        <rFont val="宋体"/>
        <charset val="134"/>
      </rPr>
      <t>增加该转换即可？</t>
    </r>
  </si>
  <si>
    <r>
      <rPr>
        <sz val="16"/>
        <color theme="1"/>
        <rFont val="Calibri"/>
        <charset val="134"/>
      </rPr>
      <t>Video</t>
    </r>
    <r>
      <rPr>
        <sz val="16"/>
        <color theme="1"/>
        <rFont val="宋体"/>
        <charset val="134"/>
      </rPr>
      <t>：</t>
    </r>
    <r>
      <rPr>
        <sz val="16"/>
        <color theme="1"/>
        <rFont val="Calibri"/>
        <charset val="134"/>
      </rPr>
      <t xml:space="preserve">
YUV+RGB format;
Tile/Rotation/FlipX,Y/Scaler;
Fetch up to 4 images from memory by one layer without overlap in vertical (SuperDMA1.0)
Graphic</t>
    </r>
    <r>
      <rPr>
        <sz val="16"/>
        <color theme="1"/>
        <rFont val="宋体"/>
        <charset val="134"/>
      </rPr>
      <t>：</t>
    </r>
    <r>
      <rPr>
        <sz val="16"/>
        <color theme="1"/>
        <rFont val="Calibri"/>
        <charset val="134"/>
      </rPr>
      <t xml:space="preserve">
</t>
    </r>
    <r>
      <rPr>
        <sz val="16"/>
        <color theme="1"/>
        <rFont val="宋体"/>
        <charset val="134"/>
      </rPr>
      <t>不支持</t>
    </r>
    <r>
      <rPr>
        <sz val="16"/>
        <color theme="1"/>
        <rFont val="Calibri"/>
        <charset val="134"/>
      </rPr>
      <t>YUV</t>
    </r>
    <r>
      <rPr>
        <sz val="16"/>
        <color theme="1"/>
        <rFont val="宋体"/>
        <charset val="134"/>
      </rPr>
      <t>格式，其余</t>
    </r>
    <r>
      <rPr>
        <sz val="16"/>
        <color theme="1"/>
        <rFont val="Calibri"/>
        <charset val="134"/>
      </rPr>
      <t xml:space="preserve">feature </t>
    </r>
    <r>
      <rPr>
        <sz val="16"/>
        <color theme="1"/>
        <rFont val="宋体"/>
        <charset val="134"/>
      </rPr>
      <t>与</t>
    </r>
    <r>
      <rPr>
        <sz val="16"/>
        <color theme="1"/>
        <rFont val="Calibri"/>
        <charset val="134"/>
      </rPr>
      <t>Video layer</t>
    </r>
    <r>
      <rPr>
        <sz val="16"/>
        <color theme="1"/>
        <rFont val="宋体"/>
        <charset val="134"/>
      </rPr>
      <t>相同</t>
    </r>
  </si>
  <si>
    <t>DPU 文档中最大支持8个layer。某次讨论中说最大支持12个layer，以哪个为准？</t>
  </si>
  <si>
    <t>12个layer</t>
  </si>
  <si>
    <t>AXI总线接口 256bits 是否够用？</t>
  </si>
  <si>
    <r>
      <rPr>
        <sz val="16"/>
        <color theme="1"/>
        <rFont val="Calibri"/>
        <charset val="134"/>
      </rPr>
      <t>4K@60fps</t>
    </r>
    <r>
      <rPr>
        <sz val="16"/>
        <color theme="1"/>
        <rFont val="宋体"/>
        <charset val="134"/>
      </rPr>
      <t>：每行像素：</t>
    </r>
    <r>
      <rPr>
        <sz val="16"/>
        <color theme="1"/>
        <rFont val="Calibri"/>
        <charset val="134"/>
      </rPr>
      <t>4400</t>
    </r>
    <r>
      <rPr>
        <sz val="16"/>
        <color theme="1"/>
        <rFont val="宋体"/>
        <charset val="134"/>
      </rPr>
      <t>，每列像素</t>
    </r>
    <r>
      <rPr>
        <sz val="16"/>
        <color theme="1"/>
        <rFont val="Calibri"/>
        <charset val="134"/>
      </rPr>
      <t>2250</t>
    </r>
    <r>
      <rPr>
        <sz val="16"/>
        <color theme="1"/>
        <rFont val="宋体"/>
        <charset val="134"/>
      </rPr>
      <t>（包含消隐），帧率</t>
    </r>
    <r>
      <rPr>
        <sz val="16"/>
        <color theme="1"/>
        <rFont val="Calibri"/>
        <charset val="134"/>
      </rPr>
      <t>60</t>
    </r>
    <r>
      <rPr>
        <sz val="16"/>
        <color theme="1"/>
        <rFont val="宋体"/>
        <charset val="134"/>
      </rPr>
      <t>。</t>
    </r>
    <r>
      <rPr>
        <sz val="16"/>
        <color rgb="FFFF0000"/>
        <rFont val="Calibri"/>
        <charset val="134"/>
      </rPr>
      <t>HDR</t>
    </r>
    <r>
      <rPr>
        <sz val="16"/>
        <color theme="1"/>
        <rFont val="宋体"/>
        <charset val="134"/>
      </rPr>
      <t>，每像素</t>
    </r>
    <r>
      <rPr>
        <sz val="16"/>
        <color theme="1"/>
        <rFont val="Calibri"/>
        <charset val="134"/>
      </rPr>
      <t>30bits</t>
    </r>
    <r>
      <rPr>
        <sz val="16"/>
        <color theme="1"/>
        <rFont val="宋体"/>
        <charset val="134"/>
      </rPr>
      <t>。</t>
    </r>
    <r>
      <rPr>
        <sz val="16"/>
        <color theme="1"/>
        <rFont val="Calibri"/>
        <charset val="134"/>
      </rPr>
      <t xml:space="preserve">
4400*2250*60*30 = 17,820,000,000bit/s = 2,227,500,000Byte/s</t>
    </r>
    <r>
      <rPr>
        <sz val="16"/>
        <color theme="1"/>
        <rFont val="宋体"/>
        <charset val="134"/>
      </rPr>
      <t>，约</t>
    </r>
    <r>
      <rPr>
        <sz val="16"/>
        <color theme="1"/>
        <rFont val="Calibri"/>
        <charset val="134"/>
      </rPr>
      <t>2.2GB</t>
    </r>
    <r>
      <rPr>
        <sz val="16"/>
        <color theme="1"/>
        <rFont val="宋体"/>
        <charset val="134"/>
      </rPr>
      <t>每秒。</t>
    </r>
    <r>
      <rPr>
        <sz val="16"/>
        <color theme="1"/>
        <rFont val="Calibri"/>
        <charset val="134"/>
      </rPr>
      <t xml:space="preserve">
4</t>
    </r>
    <r>
      <rPr>
        <sz val="16"/>
        <color theme="1"/>
        <rFont val="宋体"/>
        <charset val="134"/>
      </rPr>
      <t>个</t>
    </r>
    <r>
      <rPr>
        <sz val="16"/>
        <color theme="1"/>
        <rFont val="Calibri"/>
        <charset val="134"/>
      </rPr>
      <t>graphic</t>
    </r>
    <r>
      <rPr>
        <sz val="16"/>
        <color theme="1"/>
        <rFont val="宋体"/>
        <charset val="134"/>
      </rPr>
      <t>读，</t>
    </r>
    <r>
      <rPr>
        <sz val="16"/>
        <color theme="1"/>
        <rFont val="Calibri"/>
        <charset val="134"/>
      </rPr>
      <t>4</t>
    </r>
    <r>
      <rPr>
        <sz val="16"/>
        <color theme="1"/>
        <rFont val="宋体"/>
        <charset val="134"/>
      </rPr>
      <t>个</t>
    </r>
    <r>
      <rPr>
        <sz val="16"/>
        <color theme="1"/>
        <rFont val="Calibri"/>
        <charset val="134"/>
      </rPr>
      <t>cursor</t>
    </r>
    <r>
      <rPr>
        <sz val="16"/>
        <color theme="1"/>
        <rFont val="宋体"/>
        <charset val="134"/>
      </rPr>
      <t>读，</t>
    </r>
    <r>
      <rPr>
        <sz val="16"/>
        <color theme="1"/>
        <rFont val="Calibri"/>
        <charset val="134"/>
      </rPr>
      <t>1</t>
    </r>
    <r>
      <rPr>
        <sz val="16"/>
        <color theme="1"/>
        <rFont val="宋体"/>
        <charset val="134"/>
      </rPr>
      <t>个写。约</t>
    </r>
    <r>
      <rPr>
        <sz val="16"/>
        <color theme="1"/>
        <rFont val="Calibri"/>
        <charset val="134"/>
      </rPr>
      <t>11-13GB/s</t>
    </r>
  </si>
  <si>
    <r>
      <rPr>
        <sz val="16"/>
        <color theme="1"/>
        <rFont val="Calibri"/>
        <charset val="134"/>
      </rPr>
      <t>DPU</t>
    </r>
    <r>
      <rPr>
        <sz val="16"/>
        <color theme="1"/>
        <rFont val="宋体"/>
        <charset val="134"/>
      </rPr>
      <t>可以有多个</t>
    </r>
    <r>
      <rPr>
        <sz val="16"/>
        <color theme="1"/>
        <rFont val="Calibri"/>
        <charset val="134"/>
      </rPr>
      <t xml:space="preserve">AXI read port .
</t>
    </r>
    <r>
      <rPr>
        <sz val="16"/>
        <color theme="1"/>
        <rFont val="宋体"/>
        <charset val="134"/>
      </rPr>
      <t>根据应用场景，我们会推荐</t>
    </r>
    <r>
      <rPr>
        <sz val="16"/>
        <color theme="1"/>
        <rFont val="Calibri"/>
        <charset val="134"/>
      </rPr>
      <t>3-4</t>
    </r>
    <r>
      <rPr>
        <sz val="16"/>
        <color theme="1"/>
        <rFont val="宋体"/>
        <charset val="134"/>
      </rPr>
      <t>个</t>
    </r>
    <r>
      <rPr>
        <sz val="16"/>
        <color theme="1"/>
        <rFont val="Calibri"/>
        <charset val="134"/>
      </rPr>
      <t>layers</t>
    </r>
    <r>
      <rPr>
        <sz val="16"/>
        <color theme="1"/>
        <rFont val="宋体"/>
        <charset val="134"/>
      </rPr>
      <t>对接一个</t>
    </r>
    <r>
      <rPr>
        <sz val="16"/>
        <color theme="1"/>
        <rFont val="Calibri"/>
        <charset val="134"/>
      </rPr>
      <t xml:space="preserve">AXI Port
</t>
    </r>
    <r>
      <rPr>
        <sz val="16"/>
        <color theme="1"/>
        <rFont val="宋体"/>
        <charset val="134"/>
      </rPr>
      <t>单个</t>
    </r>
    <r>
      <rPr>
        <sz val="16"/>
        <color theme="1"/>
        <rFont val="Calibri"/>
        <charset val="134"/>
      </rPr>
      <t xml:space="preserve">AXI Port 32B </t>
    </r>
    <r>
      <rPr>
        <sz val="16"/>
        <color theme="1"/>
        <rFont val="宋体"/>
        <charset val="134"/>
      </rPr>
      <t>宽度，</t>
    </r>
    <r>
      <rPr>
        <sz val="16"/>
        <color theme="1"/>
        <rFont val="Calibri"/>
        <charset val="134"/>
      </rPr>
      <t>4K60</t>
    </r>
    <r>
      <rPr>
        <sz val="16"/>
        <color theme="1"/>
        <rFont val="宋体"/>
        <charset val="134"/>
      </rPr>
      <t>下</t>
    </r>
    <r>
      <rPr>
        <sz val="16"/>
        <color theme="1"/>
        <rFont val="Calibri"/>
        <charset val="134"/>
      </rPr>
      <t>600MHz AXI Clock</t>
    </r>
    <r>
      <rPr>
        <sz val="16"/>
        <color theme="1"/>
        <rFont val="宋体"/>
        <charset val="134"/>
      </rPr>
      <t>，</t>
    </r>
    <r>
      <rPr>
        <sz val="16"/>
        <color theme="1"/>
        <rFont val="Calibri"/>
        <charset val="134"/>
      </rPr>
      <t>100%</t>
    </r>
    <r>
      <rPr>
        <sz val="16"/>
        <color theme="1"/>
        <rFont val="宋体"/>
        <charset val="134"/>
      </rPr>
      <t>带宽大致会在</t>
    </r>
    <r>
      <rPr>
        <sz val="16"/>
        <color theme="1"/>
        <rFont val="Calibri"/>
        <charset val="134"/>
      </rPr>
      <t xml:space="preserve">19.2G/s
</t>
    </r>
    <r>
      <rPr>
        <sz val="16"/>
        <color theme="1"/>
        <rFont val="宋体"/>
        <charset val="134"/>
      </rPr>
      <t>我们推荐大致占用率在</t>
    </r>
    <r>
      <rPr>
        <sz val="16"/>
        <color theme="1"/>
        <rFont val="Calibri"/>
        <charset val="134"/>
      </rPr>
      <t xml:space="preserve">~50% </t>
    </r>
    <r>
      <rPr>
        <sz val="16"/>
        <color theme="1"/>
        <rFont val="宋体"/>
        <charset val="134"/>
      </rPr>
      <t>比较合理</t>
    </r>
    <r>
      <rPr>
        <sz val="16"/>
        <color theme="1"/>
        <rFont val="Calibri"/>
        <charset val="134"/>
      </rPr>
      <t xml:space="preserve">
</t>
    </r>
    <r>
      <rPr>
        <sz val="16"/>
        <color theme="1"/>
        <rFont val="宋体"/>
        <charset val="134"/>
      </rPr>
      <t>单个</t>
    </r>
    <r>
      <rPr>
        <sz val="16"/>
        <color theme="1"/>
        <rFont val="Calibri"/>
        <charset val="134"/>
      </rPr>
      <t>4096*2160@60</t>
    </r>
    <r>
      <rPr>
        <sz val="16"/>
        <color theme="1"/>
        <rFont val="宋体"/>
        <charset val="134"/>
      </rPr>
      <t>带宽占用在</t>
    </r>
    <r>
      <rPr>
        <sz val="16"/>
        <color theme="1"/>
        <rFont val="Calibri"/>
        <charset val="134"/>
      </rPr>
      <t xml:space="preserve">2.2G/s </t>
    </r>
    <r>
      <rPr>
        <sz val="16"/>
        <color theme="1"/>
        <rFont val="宋体"/>
        <charset val="134"/>
      </rPr>
      <t>（不考虑压缩）</t>
    </r>
    <r>
      <rPr>
        <sz val="16"/>
        <color theme="1"/>
        <rFont val="Calibri"/>
        <charset val="134"/>
      </rPr>
      <t xml:space="preserve">
</t>
    </r>
    <r>
      <rPr>
        <sz val="16"/>
        <color theme="1"/>
        <rFont val="宋体"/>
        <charset val="134"/>
      </rPr>
      <t>所以以</t>
    </r>
    <r>
      <rPr>
        <sz val="16"/>
        <color theme="1"/>
        <rFont val="Calibri"/>
        <charset val="134"/>
      </rPr>
      <t>4</t>
    </r>
    <r>
      <rPr>
        <sz val="16"/>
        <color theme="1"/>
        <rFont val="宋体"/>
        <charset val="134"/>
      </rPr>
      <t>个</t>
    </r>
    <r>
      <rPr>
        <sz val="16"/>
        <color theme="1"/>
        <rFont val="Calibri"/>
        <charset val="134"/>
      </rPr>
      <t xml:space="preserve">graphic +4 cursor +1 wb
</t>
    </r>
    <r>
      <rPr>
        <sz val="16"/>
        <color theme="1"/>
        <rFont val="宋体"/>
        <charset val="134"/>
      </rPr>
      <t>建议配置应该是</t>
    </r>
    <r>
      <rPr>
        <sz val="16"/>
        <color theme="1"/>
        <rFont val="Calibri"/>
        <charset val="134"/>
      </rPr>
      <t xml:space="preserve"> 2 AXI port </t>
    </r>
    <r>
      <rPr>
        <sz val="16"/>
        <color theme="1"/>
        <rFont val="宋体"/>
        <charset val="134"/>
      </rPr>
      <t>，</t>
    </r>
    <r>
      <rPr>
        <sz val="16"/>
        <color theme="1"/>
        <rFont val="Calibri"/>
        <charset val="134"/>
      </rPr>
      <t>Port 1</t>
    </r>
    <r>
      <rPr>
        <sz val="16"/>
        <color theme="1"/>
        <rFont val="宋体"/>
        <charset val="134"/>
      </rPr>
      <t>：</t>
    </r>
    <r>
      <rPr>
        <sz val="16"/>
        <color theme="1"/>
        <rFont val="Calibri"/>
        <charset val="134"/>
      </rPr>
      <t xml:space="preserve">1read+1write , Port 2 1read 
</t>
    </r>
  </si>
  <si>
    <t>DEC400 的配合流程，面积代价？</t>
  </si>
  <si>
    <r>
      <rPr>
        <sz val="16"/>
        <color theme="1"/>
        <rFont val="Calibri"/>
        <charset val="134"/>
      </rPr>
      <t xml:space="preserve">By frame enable DEC400 </t>
    </r>
    <r>
      <rPr>
        <sz val="16"/>
        <color theme="1"/>
        <rFont val="宋体"/>
        <charset val="134"/>
      </rPr>
      <t>，上游</t>
    </r>
    <r>
      <rPr>
        <sz val="16"/>
        <color theme="1"/>
        <rFont val="Calibri"/>
        <charset val="134"/>
      </rPr>
      <t>IP</t>
    </r>
    <r>
      <rPr>
        <sz val="16"/>
        <color theme="1"/>
        <rFont val="宋体"/>
        <charset val="134"/>
      </rPr>
      <t>支持，</t>
    </r>
    <r>
      <rPr>
        <sz val="16"/>
        <color theme="1"/>
        <rFont val="Calibri"/>
        <charset val="134"/>
      </rPr>
      <t>DPU</t>
    </r>
    <r>
      <rPr>
        <sz val="16"/>
        <color theme="1"/>
        <rFont val="宋体"/>
        <charset val="134"/>
      </rPr>
      <t>做解压</t>
    </r>
    <r>
      <rPr>
        <sz val="16"/>
        <color theme="1"/>
        <rFont val="Calibri"/>
        <charset val="134"/>
      </rPr>
      <t xml:space="preserve">
</t>
    </r>
    <r>
      <rPr>
        <sz val="16"/>
        <color theme="1"/>
        <rFont val="宋体"/>
        <charset val="134"/>
      </rPr>
      <t>面积代价配置（不带旋转）</t>
    </r>
    <r>
      <rPr>
        <sz val="16"/>
        <color theme="1"/>
        <rFont val="Calibri"/>
        <charset val="134"/>
      </rPr>
      <t xml:space="preserve">343K gate count </t>
    </r>
    <r>
      <rPr>
        <sz val="16"/>
        <color theme="1"/>
        <rFont val="宋体"/>
        <charset val="134"/>
      </rPr>
      <t>；</t>
    </r>
    <r>
      <rPr>
        <sz val="16"/>
        <color theme="1"/>
        <rFont val="Calibri"/>
        <charset val="134"/>
      </rPr>
      <t>5.25 KB ram</t>
    </r>
  </si>
  <si>
    <t>AXI写回能否反压？</t>
  </si>
  <si>
    <t>可以反压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</si>
</sst>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</numFmts>
  <fonts count="40">
    <font>
      <sz val="11"/>
      <color theme="1"/>
      <name val="等线"/>
      <charset val="134"/>
    </font>
    <font>
      <b/>
      <sz val="16"/>
      <color theme="0"/>
      <name val="Calibri"/>
      <charset val="134"/>
    </font>
    <font>
      <sz val="16"/>
      <color theme="1"/>
      <name val="Calibri"/>
      <charset val="134"/>
    </font>
    <font>
      <sz val="16"/>
      <color theme="1"/>
      <name val="宋体"/>
      <charset val="134"/>
    </font>
    <font>
      <sz val="10"/>
      <color theme="1"/>
      <name val="等线"/>
      <charset val="134"/>
    </font>
    <font>
      <b/>
      <sz val="10"/>
      <color theme="0"/>
      <name val="Calibri"/>
      <charset val="134"/>
    </font>
    <font>
      <b/>
      <sz val="10"/>
      <color theme="1"/>
      <name val="Calibri"/>
      <charset val="134"/>
    </font>
    <font>
      <i/>
      <sz val="10"/>
      <name val="Calibri"/>
      <charset val="134"/>
    </font>
    <font>
      <sz val="11"/>
      <color theme="0"/>
      <name val="等线"/>
      <charset val="134"/>
    </font>
    <font>
      <sz val="10"/>
      <name val="Calibri"/>
      <charset val="134"/>
    </font>
    <font>
      <b/>
      <sz val="10"/>
      <name val="Calibri"/>
      <charset val="134"/>
    </font>
    <font>
      <sz val="10"/>
      <color rgb="FFFF0000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0"/>
      <color theme="1"/>
      <name val="宋体"/>
      <charset val="134"/>
    </font>
    <font>
      <sz val="10"/>
      <color rgb="FF000000"/>
      <name val="Calibri"/>
      <charset val="134"/>
    </font>
    <font>
      <b/>
      <sz val="10"/>
      <color rgb="FFFFFFFF"/>
      <name val="Calibri"/>
      <charset val="134"/>
    </font>
    <font>
      <b/>
      <sz val="10"/>
      <color theme="1"/>
      <name val="Helvetica Neu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theme="0"/>
      <name val="宋体"/>
      <charset val="134"/>
    </font>
    <font>
      <sz val="16"/>
      <color rgb="FFFF000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EFE6E1"/>
        <bgColor indexed="64"/>
      </patternFill>
    </fill>
    <fill>
      <patternFill patternType="solid">
        <fgColor rgb="FF4472C4"/>
        <bgColor rgb="FF666699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7" borderId="3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38" applyNumberFormat="0" applyAlignment="0" applyProtection="0">
      <alignment vertical="center"/>
    </xf>
    <xf numFmtId="0" fontId="28" fillId="9" borderId="39" applyNumberFormat="0" applyAlignment="0" applyProtection="0">
      <alignment vertical="center"/>
    </xf>
    <xf numFmtId="0" fontId="29" fillId="9" borderId="38" applyNumberFormat="0" applyAlignment="0" applyProtection="0">
      <alignment vertical="center"/>
    </xf>
    <xf numFmtId="0" fontId="30" fillId="10" borderId="40" applyNumberFormat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1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0" xfId="0" applyFont="1"/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 vertical="center" wrapText="1"/>
      <protection locked="0"/>
    </xf>
    <xf numFmtId="0" fontId="8" fillId="0" borderId="0" xfId="0" applyFont="1"/>
    <xf numFmtId="0" fontId="5" fillId="3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0" fillId="0" borderId="10" xfId="0" applyBorder="1"/>
    <xf numFmtId="0" fontId="9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13" fillId="0" borderId="0" xfId="0" applyFont="1" applyAlignment="1" applyProtection="1">
      <alignment vertical="center"/>
      <protection locked="0"/>
    </xf>
    <xf numFmtId="0" fontId="5" fillId="3" borderId="1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0" fontId="5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 applyProtection="1">
      <alignment horizontal="center" vertical="center" wrapText="1"/>
      <protection locked="0"/>
    </xf>
    <xf numFmtId="0" fontId="5" fillId="3" borderId="10" xfId="0" applyFont="1" applyFill="1" applyBorder="1" applyAlignment="1">
      <alignment horizontal="left" vertical="center" wrapText="1"/>
    </xf>
    <xf numFmtId="0" fontId="13" fillId="0" borderId="10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13" fillId="0" borderId="10" xfId="0" applyFont="1" applyBorder="1" applyAlignment="1">
      <alignment horizontal="left" vertical="center" wrapText="1"/>
    </xf>
    <xf numFmtId="0" fontId="13" fillId="0" borderId="10" xfId="0" applyFont="1" applyBorder="1" applyAlignment="1">
      <alignment vertical="center" wrapText="1"/>
    </xf>
    <xf numFmtId="0" fontId="13" fillId="0" borderId="0" xfId="0" applyFont="1" applyAlignment="1" applyProtection="1">
      <alignment vertical="center" wrapText="1"/>
      <protection locked="0"/>
    </xf>
    <xf numFmtId="0" fontId="13" fillId="0" borderId="10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4" fillId="0" borderId="10" xfId="0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9" fillId="4" borderId="10" xfId="0" applyFont="1" applyFill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>
      <alignment horizontal="left" vertical="center" wrapText="1"/>
    </xf>
    <xf numFmtId="0" fontId="16" fillId="5" borderId="14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0" xfId="0" applyFont="1" applyFill="1" applyAlignment="1" applyProtection="1">
      <alignment horizontal="center" vertical="center"/>
      <protection locked="0"/>
    </xf>
    <xf numFmtId="0" fontId="16" fillId="3" borderId="19" xfId="0" applyFont="1" applyFill="1" applyBorder="1" applyAlignment="1">
      <alignment horizontal="center" vertical="center"/>
    </xf>
    <xf numFmtId="0" fontId="16" fillId="3" borderId="19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right" vertical="center"/>
    </xf>
    <xf numFmtId="0" fontId="10" fillId="6" borderId="2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9" fillId="0" borderId="10" xfId="0" applyFont="1" applyBorder="1" applyAlignment="1">
      <alignment horizontal="right" vertical="center"/>
    </xf>
    <xf numFmtId="0" fontId="9" fillId="4" borderId="10" xfId="0" applyFont="1" applyFill="1" applyBorder="1" applyAlignment="1" applyProtection="1">
      <alignment horizontal="right" vertical="center"/>
      <protection locked="0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9" fillId="0" borderId="22" xfId="0" applyFont="1" applyBorder="1" applyAlignment="1">
      <alignment horizontal="right" vertical="center"/>
    </xf>
    <xf numFmtId="0" fontId="9" fillId="4" borderId="22" xfId="0" applyFont="1" applyFill="1" applyBorder="1" applyAlignment="1" applyProtection="1">
      <alignment horizontal="right" vertical="center"/>
      <protection locked="0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horizontal="center" vertical="center"/>
    </xf>
    <xf numFmtId="0" fontId="9" fillId="0" borderId="18" xfId="0" applyFont="1" applyBorder="1" applyAlignment="1">
      <alignment horizontal="right" vertical="center"/>
    </xf>
    <xf numFmtId="0" fontId="9" fillId="4" borderId="18" xfId="0" applyFont="1" applyFill="1" applyBorder="1" applyAlignment="1" applyProtection="1">
      <alignment horizontal="right" vertical="center"/>
      <protection locked="0"/>
    </xf>
    <xf numFmtId="0" fontId="9" fillId="0" borderId="24" xfId="0" applyFont="1" applyBorder="1" applyAlignment="1">
      <alignment vertical="center" wrapText="1"/>
    </xf>
    <xf numFmtId="0" fontId="9" fillId="0" borderId="24" xfId="0" applyFont="1" applyBorder="1" applyAlignment="1">
      <alignment vertical="center"/>
    </xf>
    <xf numFmtId="0" fontId="9" fillId="0" borderId="8" xfId="0" applyFont="1" applyBorder="1" applyAlignment="1">
      <alignment vertical="center" wrapText="1"/>
    </xf>
    <xf numFmtId="0" fontId="16" fillId="3" borderId="18" xfId="0" applyFont="1" applyFill="1" applyBorder="1" applyAlignment="1">
      <alignment horizontal="center" vertical="center"/>
    </xf>
    <xf numFmtId="0" fontId="16" fillId="3" borderId="18" xfId="0" applyFont="1" applyFill="1" applyBorder="1" applyAlignment="1" applyProtection="1">
      <alignment horizontal="center" vertical="center"/>
      <protection locked="0"/>
    </xf>
    <xf numFmtId="0" fontId="13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30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31" xfId="0" applyFont="1" applyBorder="1" applyAlignment="1">
      <alignment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3" fillId="0" borderId="0" xfId="0" applyFont="1"/>
    <xf numFmtId="0" fontId="17" fillId="0" borderId="0" xfId="0" applyFont="1"/>
    <xf numFmtId="0" fontId="5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left" vertical="center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21" xfId="0" applyFont="1" applyFill="1" applyBorder="1" applyAlignment="1" applyProtection="1">
      <alignment horizontal="left" vertical="center" wrapText="1"/>
      <protection locked="0"/>
    </xf>
    <xf numFmtId="0" fontId="5" fillId="3" borderId="2" xfId="0" applyFont="1" applyFill="1" applyBorder="1" applyAlignment="1" applyProtection="1">
      <alignment horizontal="left" vertical="center" wrapText="1"/>
      <protection locked="0"/>
    </xf>
    <xf numFmtId="0" fontId="13" fillId="0" borderId="22" xfId="0" applyFont="1" applyBorder="1" applyAlignment="1">
      <alignment vertical="center" wrapText="1"/>
    </xf>
    <xf numFmtId="176" fontId="13" fillId="0" borderId="8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i val="1"/>
        <color rgb="FF808080"/>
      </font>
    </dxf>
    <dxf>
      <font>
        <i val="1"/>
        <color rgb="FFD9D9D9"/>
      </font>
    </dxf>
    <dxf>
      <font>
        <color rgb="FFD9D9D9"/>
      </font>
    </dxf>
    <dxf>
      <font>
        <color theme="0" tint="-0.149998474074526"/>
      </font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FE6E1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7"/>
  <sheetViews>
    <sheetView showGridLines="0" workbookViewId="0">
      <selection activeCell="C28" sqref="C28"/>
    </sheetView>
  </sheetViews>
  <sheetFormatPr defaultColWidth="9" defaultRowHeight="12.75" outlineLevelRow="6" outlineLevelCol="2"/>
  <cols>
    <col min="1" max="1" width="13.6666666666667" style="43" customWidth="1"/>
    <col min="2" max="2" width="77.1666666666667" style="43" customWidth="1"/>
    <col min="3" max="3" width="10.6666666666667" style="43" customWidth="1"/>
    <col min="4" max="16384" width="9" style="43"/>
  </cols>
  <sheetData>
    <row r="4" spans="1:3">
      <c r="A4" s="118" t="s">
        <v>0</v>
      </c>
    </row>
    <row r="5" ht="13.5" customHeight="1"/>
    <row r="6" spans="1:3">
      <c r="A6" s="119" t="s">
        <v>1</v>
      </c>
      <c r="B6" s="120" t="s">
        <v>2</v>
      </c>
      <c r="C6" s="121" t="s">
        <v>3</v>
      </c>
    </row>
    <row r="7" ht="13.5" customHeight="1" spans="1:3">
      <c r="A7" s="107"/>
      <c r="B7" s="122"/>
      <c r="C7" s="123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25" sqref="A25"/>
    </sheetView>
  </sheetViews>
  <sheetFormatPr defaultColWidth="8.66666666666667" defaultRowHeight="12.75"/>
  <cols>
    <col min="1" max="1" width="102" style="43" customWidth="1"/>
    <col min="2" max="16384" width="8.66666666666667" style="43"/>
  </cols>
  <sheetData>
    <row r="1" spans="1:1">
      <c r="A1" s="43" t="s">
        <v>4</v>
      </c>
    </row>
    <row r="3" spans="1:1">
      <c r="A3" s="43" t="s">
        <v>5</v>
      </c>
    </row>
    <row r="6" spans="1:1">
      <c r="A6" s="43" t="s">
        <v>6</v>
      </c>
    </row>
    <row r="8" spans="1:1">
      <c r="A8" s="43" t="s">
        <v>7</v>
      </c>
    </row>
    <row r="11" spans="1:1">
      <c r="A11" s="43" t="s">
        <v>8</v>
      </c>
    </row>
    <row r="14" ht="25.5" spans="1:1">
      <c r="A14" s="117" t="s">
        <v>9</v>
      </c>
    </row>
    <row r="16" spans="1:1">
      <c r="A16" s="43" t="s">
        <v>10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selection activeCell="J17" sqref="J17"/>
    </sheetView>
  </sheetViews>
  <sheetFormatPr defaultColWidth="9" defaultRowHeight="12.75" outlineLevelCol="2"/>
  <cols>
    <col min="1" max="1" width="35.9166666666667" style="111" customWidth="1"/>
    <col min="2" max="3" width="20.75" style="112" customWidth="1"/>
    <col min="4" max="16384" width="9" style="13"/>
  </cols>
  <sheetData>
    <row r="1" spans="1:3">
      <c r="A1" s="113" t="s">
        <v>11</v>
      </c>
      <c r="B1" s="113"/>
      <c r="C1" s="113"/>
    </row>
    <row r="2" spans="1:3">
      <c r="A2" s="114"/>
      <c r="B2" s="113"/>
      <c r="C2" s="113"/>
    </row>
    <row r="3" spans="1:3">
      <c r="A3" s="115" t="s">
        <v>12</v>
      </c>
      <c r="B3" s="116" t="s">
        <v>13</v>
      </c>
      <c r="C3" s="116" t="s">
        <v>14</v>
      </c>
    </row>
    <row r="4" spans="1:3">
      <c r="A4" s="53" t="s">
        <v>15</v>
      </c>
      <c r="B4" s="59"/>
      <c r="C4" s="59" t="s">
        <v>16</v>
      </c>
    </row>
    <row r="5" spans="1:3">
      <c r="A5" s="53" t="s">
        <v>17</v>
      </c>
      <c r="B5" s="59"/>
      <c r="C5" s="59" t="s">
        <v>18</v>
      </c>
    </row>
    <row r="6" spans="1:3">
      <c r="A6" s="53" t="s">
        <v>19</v>
      </c>
      <c r="B6" s="59"/>
      <c r="C6" s="59" t="s">
        <v>20</v>
      </c>
    </row>
    <row r="7" spans="1:3">
      <c r="A7" s="53" t="s">
        <v>21</v>
      </c>
      <c r="B7" s="59"/>
      <c r="C7" s="59" t="s">
        <v>22</v>
      </c>
    </row>
    <row r="8" spans="1:3">
      <c r="A8" s="53" t="s">
        <v>23</v>
      </c>
      <c r="B8" s="59"/>
      <c r="C8" s="59" t="s">
        <v>24</v>
      </c>
    </row>
    <row r="9" spans="1:3">
      <c r="A9" s="53" t="s">
        <v>25</v>
      </c>
      <c r="B9" s="59"/>
      <c r="C9" s="59" t="s">
        <v>26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showGridLines="0" topLeftCell="B1" workbookViewId="0">
      <selection activeCell="D7" sqref="D7"/>
    </sheetView>
  </sheetViews>
  <sheetFormatPr defaultColWidth="20" defaultRowHeight="12.75"/>
  <cols>
    <col min="1" max="1" width="23.0833333333333" style="43" customWidth="1"/>
    <col min="2" max="2" width="25.1666666666667" style="43" customWidth="1"/>
    <col min="3" max="3" width="26.1666666666667" style="43" customWidth="1"/>
    <col min="4" max="4" width="35.5833333333333" style="44" customWidth="1"/>
    <col min="5" max="5" width="29.25" style="45" customWidth="1"/>
    <col min="6" max="6" width="24.1666666666667" style="43" customWidth="1"/>
    <col min="7" max="7" width="27.5833333333333" style="43" customWidth="1"/>
    <col min="8" max="8" width="31.5" style="46" customWidth="1"/>
    <col min="9" max="16384" width="20" style="46"/>
  </cols>
  <sheetData>
    <row r="1" ht="15" customHeight="1" spans="1:11">
      <c r="A1" s="47" t="s">
        <v>27</v>
      </c>
      <c r="B1" s="48"/>
      <c r="C1" s="48"/>
      <c r="D1" s="49"/>
      <c r="E1" s="48"/>
      <c r="F1" s="48"/>
      <c r="G1" s="48"/>
    </row>
    <row r="2" ht="25.5" customHeight="1" spans="1:11">
      <c r="A2" s="50" t="s">
        <v>28</v>
      </c>
      <c r="B2" s="14" t="s">
        <v>29</v>
      </c>
      <c r="C2" s="14"/>
      <c r="D2" s="51" t="s">
        <v>30</v>
      </c>
      <c r="E2" s="52" t="s">
        <v>31</v>
      </c>
      <c r="F2" s="52" t="s">
        <v>32</v>
      </c>
      <c r="G2" s="52" t="s">
        <v>33</v>
      </c>
    </row>
    <row r="3" ht="62" customHeight="1" spans="1:11">
      <c r="A3" s="53" t="s">
        <v>34</v>
      </c>
      <c r="B3" s="54" t="s">
        <v>35</v>
      </c>
      <c r="C3" s="54"/>
      <c r="D3" s="55">
        <v>2</v>
      </c>
      <c r="E3" s="56" t="str">
        <f>IF(D3=1,"4K60 FPS
Core clock  600MHz 
Pixel clock 150MHz(when 4ppc port)","4K120 FPS
Core clock  600MHz 
Pixel clock 300MHz(when 4ppc port)")</f>
        <v>4K120 FPS
Core clock  600MHz 
Pixel clock 300MHz(when 4ppc port)</v>
      </c>
      <c r="F3" s="57" t="s">
        <v>36</v>
      </c>
      <c r="G3" s="56" t="s">
        <v>37</v>
      </c>
      <c r="H3" s="58"/>
      <c r="K3" s="58" t="s">
        <v>38</v>
      </c>
    </row>
    <row r="4" ht="63.75" customHeight="1" spans="1:11">
      <c r="A4" s="59" t="s">
        <v>39</v>
      </c>
      <c r="B4" s="60" t="s">
        <v>40</v>
      </c>
      <c r="C4" s="61"/>
      <c r="D4" s="55">
        <v>4</v>
      </c>
      <c r="E4" s="56"/>
      <c r="F4" s="57" t="s">
        <v>41</v>
      </c>
      <c r="G4" s="56" t="s">
        <v>42</v>
      </c>
      <c r="H4" s="58"/>
    </row>
    <row r="5" ht="63.75" customHeight="1" spans="1:11">
      <c r="A5" s="59"/>
      <c r="B5" s="25" t="s">
        <v>43</v>
      </c>
      <c r="C5" s="25"/>
      <c r="D5" s="55">
        <v>4</v>
      </c>
      <c r="E5" s="56"/>
      <c r="F5" s="57" t="s">
        <v>44</v>
      </c>
      <c r="G5" s="56" t="s">
        <v>45</v>
      </c>
    </row>
    <row r="6" ht="89.25" customHeight="1" spans="1:11">
      <c r="A6" s="59"/>
      <c r="B6" s="41" t="s">
        <v>46</v>
      </c>
      <c r="C6" s="41"/>
      <c r="D6" s="55">
        <v>0</v>
      </c>
      <c r="E6" s="56"/>
      <c r="F6" s="62" t="s">
        <v>47</v>
      </c>
      <c r="G6" s="56" t="s">
        <v>48</v>
      </c>
    </row>
    <row r="7" ht="15" customHeight="1" spans="1:11">
      <c r="A7" s="59"/>
      <c r="B7" s="25" t="s">
        <v>49</v>
      </c>
      <c r="C7" s="25"/>
      <c r="D7" s="55">
        <v>4</v>
      </c>
      <c r="E7" s="56"/>
      <c r="F7" s="62" t="s">
        <v>50</v>
      </c>
      <c r="G7" s="59" t="s">
        <v>51</v>
      </c>
    </row>
    <row r="8" ht="15" customHeight="1" spans="1:11">
      <c r="A8" s="59" t="s">
        <v>52</v>
      </c>
      <c r="B8" s="25" t="s">
        <v>53</v>
      </c>
      <c r="C8" s="25"/>
      <c r="D8" s="55">
        <v>4</v>
      </c>
      <c r="E8" s="56"/>
      <c r="F8" s="62" t="s">
        <v>54</v>
      </c>
      <c r="G8" s="59"/>
    </row>
    <row r="9" spans="1:11">
      <c r="A9" s="56" t="s">
        <v>55</v>
      </c>
      <c r="B9" s="63" t="s">
        <v>56</v>
      </c>
      <c r="C9" s="63"/>
      <c r="D9" s="64" t="s">
        <v>57</v>
      </c>
      <c r="E9" s="56"/>
      <c r="F9" s="62" t="s">
        <v>58</v>
      </c>
      <c r="G9" s="65"/>
    </row>
    <row r="10" spans="1:11">
      <c r="A10" s="56"/>
      <c r="B10" s="54" t="s">
        <v>59</v>
      </c>
      <c r="C10" s="54"/>
      <c r="D10" s="55" t="s">
        <v>60</v>
      </c>
      <c r="E10" s="56"/>
      <c r="F10" s="57"/>
      <c r="G10" s="59"/>
    </row>
    <row r="12" spans="1:11">
      <c r="A12" s="66" t="s">
        <v>61</v>
      </c>
      <c r="B12" s="67"/>
      <c r="C12" s="67"/>
      <c r="D12" s="68"/>
      <c r="E12" s="67"/>
      <c r="F12" s="67"/>
      <c r="G12" s="67"/>
    </row>
    <row r="13" ht="13.5" customHeight="1" spans="1:11">
      <c r="A13" s="69" t="s">
        <v>28</v>
      </c>
      <c r="B13" s="69" t="s">
        <v>62</v>
      </c>
      <c r="C13" s="69" t="s">
        <v>63</v>
      </c>
      <c r="D13" s="70"/>
      <c r="E13" s="52" t="s">
        <v>31</v>
      </c>
      <c r="F13" s="69" t="s">
        <v>32</v>
      </c>
      <c r="G13" s="71" t="s">
        <v>33</v>
      </c>
    </row>
    <row r="14" ht="13.5" spans="1:11">
      <c r="A14" s="72" t="s">
        <v>39</v>
      </c>
      <c r="B14" s="73" t="s">
        <v>64</v>
      </c>
      <c r="C14" s="74" t="s">
        <v>65</v>
      </c>
      <c r="D14" s="75" t="str">
        <f>IF(0&lt;$D$4,"Video",IF(0&lt;$D$4+$D$5,"Graphic",IF(0&lt;$D$4+$D$5+$D$6,"Simple","Not Used")))</f>
        <v>Video</v>
      </c>
      <c r="E14" s="76"/>
      <c r="F14" s="76"/>
      <c r="G14" s="76"/>
    </row>
    <row r="15" ht="13.5" spans="1:11">
      <c r="A15" s="72"/>
      <c r="B15" s="73"/>
      <c r="C15" s="77" t="s">
        <v>66</v>
      </c>
      <c r="D15" s="78" t="s">
        <v>67</v>
      </c>
      <c r="E15" s="79" t="str">
        <f>IF(D15="Not Support","","357.3K gates  +  5.25KB RAM")</f>
        <v>357.3K gates  +  5.25KB RAM</v>
      </c>
      <c r="F15" s="80"/>
      <c r="G15" s="80"/>
    </row>
    <row r="16" ht="13.5" spans="1:11">
      <c r="A16" s="72"/>
      <c r="B16" s="73"/>
      <c r="C16" s="77" t="s">
        <v>68</v>
      </c>
      <c r="D16" s="78" t="s">
        <v>67</v>
      </c>
      <c r="E16" s="79" t="str">
        <f>IF(D16="Not Support","",IF($D$3=2,"567.7K gates","361.9K gates"))</f>
        <v>567.7K gates</v>
      </c>
      <c r="F16" s="80"/>
      <c r="G16" s="80"/>
    </row>
    <row r="17" ht="13.5" customHeight="1" spans="1:7">
      <c r="A17" s="72"/>
      <c r="B17" s="73"/>
      <c r="C17" s="81" t="s">
        <v>69</v>
      </c>
      <c r="D17" s="82" t="s">
        <v>67</v>
      </c>
      <c r="E17" s="79" t="str">
        <f>IF(D17="Not Support","",IF($D$3=2,"348.1K gates  +  120KB RAM","207.9K gates  +  96.56KB RAM"))</f>
        <v>348.1K gates  +  120KB RAM</v>
      </c>
      <c r="F17" s="83"/>
      <c r="G17" s="83"/>
    </row>
    <row r="18" ht="13.5" spans="1:7">
      <c r="A18" s="72"/>
      <c r="B18" s="73" t="s">
        <v>70</v>
      </c>
      <c r="C18" s="74" t="s">
        <v>65</v>
      </c>
      <c r="D18" s="75" t="str">
        <f>IF(1&lt;$D$4,"Video",IF(1&lt;$D$4+$D$5,"Graphic",IF(1&lt;$D$4+$D$5+$D$6,"Simple","Not Used")))</f>
        <v>Video</v>
      </c>
      <c r="E18" s="76"/>
      <c r="F18" s="76"/>
      <c r="G18" s="76"/>
    </row>
    <row r="19" ht="13.5" spans="1:7">
      <c r="A19" s="72"/>
      <c r="B19" s="73"/>
      <c r="C19" s="77" t="s">
        <v>66</v>
      </c>
      <c r="D19" s="78" t="s">
        <v>67</v>
      </c>
      <c r="E19" s="79" t="str">
        <f>IF(D19="Not Support","","357.3K gates  +  5.25KB RAM")</f>
        <v>357.3K gates  +  5.25KB RAM</v>
      </c>
      <c r="F19" s="80"/>
      <c r="G19" s="80"/>
    </row>
    <row r="20" ht="14.25" customHeight="1" spans="1:7">
      <c r="A20" s="72"/>
      <c r="B20" s="73"/>
      <c r="C20" s="77" t="s">
        <v>68</v>
      </c>
      <c r="D20" s="78" t="s">
        <v>67</v>
      </c>
      <c r="E20" s="79" t="str">
        <f>IF(D20="Not Support","",IF($D$3=2,"567.7K gates","361.9K gates"))</f>
        <v>567.7K gates</v>
      </c>
      <c r="F20" s="80"/>
      <c r="G20" s="80"/>
    </row>
    <row r="21" ht="14.25" customHeight="1" spans="1:7">
      <c r="A21" s="72"/>
      <c r="B21" s="73"/>
      <c r="C21" s="81" t="s">
        <v>69</v>
      </c>
      <c r="D21" s="82" t="s">
        <v>67</v>
      </c>
      <c r="E21" s="79" t="str">
        <f>IF(D21="Not Support","",IF($D$3=2,"348.1K gates  +  120KB RAM","207.9K gates  +  96.56KB RAM"))</f>
        <v>348.1K gates  +  120KB RAM</v>
      </c>
      <c r="F21" s="83"/>
      <c r="G21" s="83"/>
    </row>
    <row r="22" ht="13.5" spans="1:7">
      <c r="A22" s="72"/>
      <c r="B22" s="73" t="s">
        <v>71</v>
      </c>
      <c r="C22" s="74" t="s">
        <v>65</v>
      </c>
      <c r="D22" s="75" t="str">
        <f>IF(2&lt;$D$4,"Video",IF(2&lt;$D$4+$D$5,"Graphic",IF(2&lt;$D$4+$D$5+$D$6,"Simple","Not Used")))</f>
        <v>Video</v>
      </c>
      <c r="E22" s="76"/>
      <c r="F22" s="76"/>
      <c r="G22" s="76"/>
    </row>
    <row r="23" ht="13.5" spans="1:7">
      <c r="A23" s="72"/>
      <c r="B23" s="73"/>
      <c r="C23" s="77" t="s">
        <v>66</v>
      </c>
      <c r="D23" s="78" t="s">
        <v>67</v>
      </c>
      <c r="E23" s="79" t="str">
        <f>IF(D23="Not Support","","357.3K gates  +  5.25KB RAM")</f>
        <v>357.3K gates  +  5.25KB RAM</v>
      </c>
      <c r="F23" s="80"/>
      <c r="G23" s="80"/>
    </row>
    <row r="24" ht="13.5" spans="1:7">
      <c r="A24" s="72"/>
      <c r="B24" s="73"/>
      <c r="C24" s="77" t="s">
        <v>68</v>
      </c>
      <c r="D24" s="78" t="s">
        <v>67</v>
      </c>
      <c r="E24" s="79" t="str">
        <f>IF(D24="Not Support","",IF($D$3=2,"567.7K gates","361.9K gates"))</f>
        <v>567.7K gates</v>
      </c>
      <c r="F24" s="80"/>
      <c r="G24" s="80"/>
    </row>
    <row r="25" ht="13.5" customHeight="1" spans="1:7">
      <c r="A25" s="72"/>
      <c r="B25" s="73"/>
      <c r="C25" s="81" t="s">
        <v>69</v>
      </c>
      <c r="D25" s="82" t="s">
        <v>67</v>
      </c>
      <c r="E25" s="79" t="str">
        <f>IF(D25="Not Support","",IF($D$3=2,"348.1K gates  +  120KB RAM","207.9K gates  +  96.56KB RAM"))</f>
        <v>348.1K gates  +  120KB RAM</v>
      </c>
      <c r="F25" s="83"/>
      <c r="G25" s="83"/>
    </row>
    <row r="26" ht="13.5" spans="1:7">
      <c r="A26" s="72"/>
      <c r="B26" s="73" t="s">
        <v>72</v>
      </c>
      <c r="C26" s="74" t="s">
        <v>65</v>
      </c>
      <c r="D26" s="75" t="str">
        <f>IF(3&lt;$D$4,"Video",IF(3&lt;$D$4+$D$5,"Graphic",IF(3&lt;$D$4+$D$5+$D$6,"Simple","Not Used")))</f>
        <v>Video</v>
      </c>
      <c r="E26" s="76"/>
      <c r="F26" s="76"/>
      <c r="G26" s="76"/>
    </row>
    <row r="27" ht="13.5" spans="1:7">
      <c r="A27" s="72"/>
      <c r="B27" s="73"/>
      <c r="C27" s="77" t="s">
        <v>66</v>
      </c>
      <c r="D27" s="78" t="s">
        <v>67</v>
      </c>
      <c r="E27" s="79" t="str">
        <f>IF(D27="Not Support","","357.3K gates  +  5.25KB RAM")</f>
        <v>357.3K gates  +  5.25KB RAM</v>
      </c>
      <c r="F27" s="80"/>
      <c r="G27" s="80"/>
    </row>
    <row r="28" ht="14.25" customHeight="1" spans="1:7">
      <c r="A28" s="72"/>
      <c r="B28" s="73"/>
      <c r="C28" s="77" t="s">
        <v>68</v>
      </c>
      <c r="D28" s="78" t="s">
        <v>67</v>
      </c>
      <c r="E28" s="79" t="str">
        <f>IF(D28="Not Support","",IF($D$3=2,"567.7K gates","361.9K gates"))</f>
        <v>567.7K gates</v>
      </c>
      <c r="F28" s="80"/>
      <c r="G28" s="80"/>
    </row>
    <row r="29" ht="14.25" customHeight="1" spans="1:7">
      <c r="A29" s="72"/>
      <c r="B29" s="73"/>
      <c r="C29" s="81" t="s">
        <v>69</v>
      </c>
      <c r="D29" s="82" t="s">
        <v>67</v>
      </c>
      <c r="E29" s="79" t="str">
        <f>IF(D29="Not Support","",IF($D$3=2,"348.1K gates  +  120KB RAM","207.9K gates  +  96.56KB RAM"))</f>
        <v>348.1K gates  +  120KB RAM</v>
      </c>
      <c r="F29" s="83"/>
      <c r="G29" s="83"/>
    </row>
    <row r="30" ht="14.25" customHeight="1" spans="1:7">
      <c r="A30" s="72"/>
      <c r="B30" s="73" t="s">
        <v>73</v>
      </c>
      <c r="C30" s="74" t="s">
        <v>65</v>
      </c>
      <c r="D30" s="75" t="str">
        <f>IF(4&lt;$D$4,"Video",IF(4&lt;$D$4+$D$5,"Graphic",IF(4&lt;$D$4+$D$5+$D$6,"Simple","Not Used")))</f>
        <v>Graphic</v>
      </c>
      <c r="E30" s="76"/>
      <c r="F30" s="76"/>
      <c r="G30" s="76"/>
    </row>
    <row r="31" ht="14.25" customHeight="1" spans="1:7">
      <c r="A31" s="72"/>
      <c r="B31" s="73"/>
      <c r="C31" s="77" t="s">
        <v>66</v>
      </c>
      <c r="D31" s="78" t="s">
        <v>67</v>
      </c>
      <c r="E31" s="79" t="str">
        <f>IF(D31="Not Support","","357.3K gates  +  5.25KB RAM")</f>
        <v>357.3K gates  +  5.25KB RAM</v>
      </c>
      <c r="F31" s="80"/>
      <c r="G31" s="80"/>
    </row>
    <row r="32" ht="14.25" customHeight="1" spans="1:7">
      <c r="A32" s="72"/>
      <c r="B32" s="73"/>
      <c r="C32" s="77" t="s">
        <v>68</v>
      </c>
      <c r="D32" s="78" t="s">
        <v>67</v>
      </c>
      <c r="E32" s="79" t="str">
        <f>IF(D32="Not Support","",IF($D$3=2,"567.7K gates","361.9K gates"))</f>
        <v>567.7K gates</v>
      </c>
      <c r="F32" s="80"/>
      <c r="G32" s="80"/>
    </row>
    <row r="33" ht="14.25" customHeight="1" spans="1:7">
      <c r="A33" s="72"/>
      <c r="B33" s="73"/>
      <c r="C33" s="81" t="s">
        <v>69</v>
      </c>
      <c r="D33" s="82" t="s">
        <v>74</v>
      </c>
      <c r="E33" s="79" t="str">
        <f>IF(D33="Not Support","",IF($D$3=2,"348.1K gates  +  120KB RAM","207.9K gates  +  96.56KB RAM"))</f>
        <v/>
      </c>
      <c r="F33" s="83"/>
      <c r="G33" s="83"/>
    </row>
    <row r="34" ht="14.25" customHeight="1" spans="1:7">
      <c r="A34" s="72"/>
      <c r="B34" s="73" t="s">
        <v>75</v>
      </c>
      <c r="C34" s="74" t="s">
        <v>65</v>
      </c>
      <c r="D34" s="75" t="str">
        <f>IF(5&lt;$D$4,"Video",IF(5&lt;$D$4+$D$5,"Graphic",IF(5&lt;$D$4+$D$5+$D$6,"Simple","Not Used")))</f>
        <v>Graphic</v>
      </c>
      <c r="E34" s="76"/>
      <c r="F34" s="76"/>
      <c r="G34" s="76"/>
    </row>
    <row r="35" ht="14.25" customHeight="1" spans="1:7">
      <c r="A35" s="72"/>
      <c r="B35" s="73"/>
      <c r="C35" s="77" t="s">
        <v>66</v>
      </c>
      <c r="D35" s="78" t="s">
        <v>67</v>
      </c>
      <c r="E35" s="79" t="str">
        <f>IF(D35="Not Support","","357.3K gates  +  5.25KB RAM")</f>
        <v>357.3K gates  +  5.25KB RAM</v>
      </c>
      <c r="F35" s="80"/>
      <c r="G35" s="80"/>
    </row>
    <row r="36" ht="14.25" customHeight="1" spans="1:7">
      <c r="A36" s="72"/>
      <c r="B36" s="73"/>
      <c r="C36" s="77" t="s">
        <v>68</v>
      </c>
      <c r="D36" s="78" t="s">
        <v>67</v>
      </c>
      <c r="E36" s="79" t="str">
        <f>IF(D36="Not Support","",IF($D$3=2,"567.7K gates","361.9K gates"))</f>
        <v>567.7K gates</v>
      </c>
      <c r="F36" s="80"/>
      <c r="G36" s="80"/>
    </row>
    <row r="37" ht="14.25" customHeight="1" spans="1:7">
      <c r="A37" s="72"/>
      <c r="B37" s="73"/>
      <c r="C37" s="81" t="s">
        <v>69</v>
      </c>
      <c r="D37" s="82" t="s">
        <v>74</v>
      </c>
      <c r="E37" s="79" t="str">
        <f>IF(D37="Not Support","",IF($D$3=2,"348.1K gates  +  120KB RAM","207.9K gates  +  96.56KB RAM"))</f>
        <v/>
      </c>
      <c r="F37" s="83"/>
      <c r="G37" s="83"/>
    </row>
    <row r="38" ht="14.25" customHeight="1" spans="1:7">
      <c r="A38" s="72"/>
      <c r="B38" s="73" t="s">
        <v>76</v>
      </c>
      <c r="C38" s="74" t="s">
        <v>65</v>
      </c>
      <c r="D38" s="75" t="str">
        <f>IF(6&lt;$D$4,"Video",IF(6&lt;$D$4+$D$5,"Graphic",IF(6&lt;$D$4+$D$5+$D$6,"Simple","Not Used")))</f>
        <v>Graphic</v>
      </c>
      <c r="E38" s="76"/>
      <c r="F38" s="76"/>
      <c r="G38" s="76"/>
    </row>
    <row r="39" ht="14.25" customHeight="1" spans="1:7">
      <c r="A39" s="72"/>
      <c r="B39" s="73"/>
      <c r="C39" s="77" t="s">
        <v>66</v>
      </c>
      <c r="D39" s="78" t="s">
        <v>67</v>
      </c>
      <c r="E39" s="79" t="str">
        <f>IF(D39="Not Support","","357.3K gates  +  5.25KB RAM")</f>
        <v>357.3K gates  +  5.25KB RAM</v>
      </c>
      <c r="F39" s="80"/>
      <c r="G39" s="80"/>
    </row>
    <row r="40" ht="14.25" customHeight="1" spans="1:7">
      <c r="A40" s="72"/>
      <c r="B40" s="73"/>
      <c r="C40" s="77" t="s">
        <v>68</v>
      </c>
      <c r="D40" s="78" t="s">
        <v>67</v>
      </c>
      <c r="E40" s="79" t="str">
        <f>IF(D40="Not Support","",IF($D$3=2,"567.7K gates","361.9K gates"))</f>
        <v>567.7K gates</v>
      </c>
      <c r="F40" s="80"/>
      <c r="G40" s="80"/>
    </row>
    <row r="41" ht="14.25" customHeight="1" spans="1:7">
      <c r="A41" s="72"/>
      <c r="B41" s="73"/>
      <c r="C41" s="81" t="s">
        <v>69</v>
      </c>
      <c r="D41" s="82" t="s">
        <v>74</v>
      </c>
      <c r="E41" s="79" t="str">
        <f>IF(D41="Not Support","",IF($D$3=2,"348.1K gates  +  120KB RAM","207.9K gates  +  96.56KB RAM"))</f>
        <v/>
      </c>
      <c r="F41" s="83"/>
      <c r="G41" s="83"/>
    </row>
    <row r="42" ht="14.25" customHeight="1" spans="1:7">
      <c r="A42" s="72"/>
      <c r="B42" s="73" t="s">
        <v>77</v>
      </c>
      <c r="C42" s="74" t="s">
        <v>65</v>
      </c>
      <c r="D42" s="75" t="str">
        <f>IF(7&lt;$D$4,"Video",IF(7&lt;$D$4+$D$5,"Graphic",IF(7&lt;$D$4+$D$5+$D$6,"Simple","Not Used")))</f>
        <v>Graphic</v>
      </c>
      <c r="E42" s="84"/>
      <c r="F42" s="84"/>
      <c r="G42" s="84"/>
    </row>
    <row r="43" ht="14.25" customHeight="1" spans="1:7">
      <c r="A43" s="72"/>
      <c r="B43" s="73"/>
      <c r="C43" s="77" t="s">
        <v>66</v>
      </c>
      <c r="D43" s="78" t="s">
        <v>67</v>
      </c>
      <c r="E43" s="79" t="str">
        <f>IF(D43="Not Support","","357.3K gates  +  5.25KB RAM")</f>
        <v>357.3K gates  +  5.25KB RAM</v>
      </c>
      <c r="F43" s="80"/>
      <c r="G43" s="80"/>
    </row>
    <row r="44" ht="14.25" customHeight="1" spans="1:7">
      <c r="A44" s="72"/>
      <c r="B44" s="73"/>
      <c r="C44" s="77" t="s">
        <v>68</v>
      </c>
      <c r="D44" s="78" t="s">
        <v>67</v>
      </c>
      <c r="E44" s="79" t="str">
        <f>IF(D44="Not Support","",IF($D$3=2,"567.7K gates","361.9K gates"))</f>
        <v>567.7K gates</v>
      </c>
      <c r="F44" s="80"/>
      <c r="G44" s="80"/>
    </row>
    <row r="45" ht="14.25" customHeight="1" spans="1:7">
      <c r="A45" s="72"/>
      <c r="B45" s="73"/>
      <c r="C45" s="81" t="s">
        <v>69</v>
      </c>
      <c r="D45" s="82" t="s">
        <v>74</v>
      </c>
      <c r="E45" s="79" t="str">
        <f>IF(D45="Not Support","",IF($D$3=2,"348.1K gates  +  120KB RAM","207.9K gates  +  96.56KB RAM"))</f>
        <v/>
      </c>
      <c r="F45" s="83"/>
      <c r="G45" s="83"/>
    </row>
    <row r="46" ht="14.25" customHeight="1" spans="1:7">
      <c r="A46" s="72"/>
      <c r="B46" s="73" t="s">
        <v>78</v>
      </c>
      <c r="C46" s="74" t="s">
        <v>65</v>
      </c>
      <c r="D46" s="75" t="str">
        <f>IF(8&lt;$D$4,"Video",IF(8&lt;$D$4+$D$5,"Graphic",IF(8&lt;$D$4+$D$5+$D$6,"Simple","Not Used")))</f>
        <v>Not Used</v>
      </c>
      <c r="E46" s="76"/>
      <c r="F46" s="76"/>
      <c r="G46" s="76"/>
    </row>
    <row r="47" ht="14.25" customHeight="1" spans="1:7">
      <c r="A47" s="72"/>
      <c r="B47" s="73"/>
      <c r="C47" s="77" t="s">
        <v>66</v>
      </c>
      <c r="D47" s="78" t="s">
        <v>74</v>
      </c>
      <c r="E47" s="79" t="str">
        <f>IF(D47="Not Support","","357.3K gates  +  5.25KB RAM")</f>
        <v/>
      </c>
      <c r="F47" s="80"/>
      <c r="G47" s="80"/>
    </row>
    <row r="48" ht="14.25" customHeight="1" spans="1:7">
      <c r="A48" s="72"/>
      <c r="B48" s="73"/>
      <c r="C48" s="77" t="s">
        <v>68</v>
      </c>
      <c r="D48" s="78" t="s">
        <v>74</v>
      </c>
      <c r="E48" s="79" t="str">
        <f>IF(D48="Not Support","",IF($D$3=2,"567.7K gates","361.9K gates"))</f>
        <v/>
      </c>
      <c r="F48" s="80"/>
      <c r="G48" s="80"/>
    </row>
    <row r="49" ht="14.25" customHeight="1" spans="1:7">
      <c r="A49" s="72"/>
      <c r="B49" s="73"/>
      <c r="C49" s="81" t="s">
        <v>69</v>
      </c>
      <c r="D49" s="82" t="s">
        <v>74</v>
      </c>
      <c r="E49" s="79" t="str">
        <f>IF(D49="Not Support","",IF($D$3=2,"348.1K gates  +  120KB RAM","207.9K gates  +  96.56KB RAM"))</f>
        <v/>
      </c>
      <c r="F49" s="83"/>
      <c r="G49" s="83"/>
    </row>
    <row r="50" ht="14.25" customHeight="1" spans="1:7">
      <c r="A50" s="72"/>
      <c r="B50" s="73" t="s">
        <v>79</v>
      </c>
      <c r="C50" s="74" t="s">
        <v>65</v>
      </c>
      <c r="D50" s="75" t="str">
        <f>IF(9&lt;$D$4,"Video",IF(9&lt;$D$4+$D$5,"Graphic",IF(9&lt;$D$4+$D$5+$D$6,"Simple","Not Used")))</f>
        <v>Not Used</v>
      </c>
      <c r="E50" s="84"/>
      <c r="F50" s="84"/>
      <c r="G50" s="84"/>
    </row>
    <row r="51" ht="14.25" customHeight="1" spans="1:7">
      <c r="A51" s="72"/>
      <c r="B51" s="73"/>
      <c r="C51" s="77" t="s">
        <v>66</v>
      </c>
      <c r="D51" s="78" t="s">
        <v>74</v>
      </c>
      <c r="E51" s="79" t="str">
        <f>IF(D51="Not Support","","357.3K gates  +  5.25KB RAM")</f>
        <v/>
      </c>
      <c r="F51" s="80"/>
      <c r="G51" s="80"/>
    </row>
    <row r="52" ht="14.25" customHeight="1" spans="1:7">
      <c r="A52" s="72"/>
      <c r="B52" s="73"/>
      <c r="C52" s="77" t="s">
        <v>68</v>
      </c>
      <c r="D52" s="78" t="s">
        <v>74</v>
      </c>
      <c r="E52" s="79" t="str">
        <f>IF(D52="Not Support","",IF($D$3=2,"567.7K gates","361.9K gates"))</f>
        <v/>
      </c>
      <c r="F52" s="80"/>
      <c r="G52" s="80"/>
    </row>
    <row r="53" ht="14.25" customHeight="1" spans="1:7">
      <c r="A53" s="72"/>
      <c r="B53" s="73"/>
      <c r="C53" s="81" t="s">
        <v>69</v>
      </c>
      <c r="D53" s="82" t="s">
        <v>74</v>
      </c>
      <c r="E53" s="79" t="str">
        <f>IF(D53="Not Support","",IF($D$3=2,"348.1K gates  +  120KB RAM","207.9K gates  +  96.56KB RAM"))</f>
        <v/>
      </c>
      <c r="F53" s="83"/>
      <c r="G53" s="83"/>
    </row>
    <row r="54" ht="14.25" customHeight="1" spans="1:7">
      <c r="A54" s="72"/>
      <c r="B54" s="73" t="s">
        <v>80</v>
      </c>
      <c r="C54" s="74" t="s">
        <v>65</v>
      </c>
      <c r="D54" s="75" t="str">
        <f>IF(10&lt;$D$4,"Video",IF(10&lt;$D$4+$D$5,"Graphic",IF(10&lt;$D$4+$D$5+$D$6,"Simple","Not Used")))</f>
        <v>Not Used</v>
      </c>
      <c r="E54" s="76"/>
      <c r="F54" s="76"/>
      <c r="G54" s="76"/>
    </row>
    <row r="55" ht="14.25" customHeight="1" spans="1:7">
      <c r="A55" s="72"/>
      <c r="B55" s="73"/>
      <c r="C55" s="77" t="s">
        <v>66</v>
      </c>
      <c r="D55" s="78" t="s">
        <v>74</v>
      </c>
      <c r="E55" s="79" t="str">
        <f>IF(D55="Not Support","","357.3K gates  +  5.25KB RAM")</f>
        <v/>
      </c>
      <c r="F55" s="80"/>
      <c r="G55" s="80"/>
    </row>
    <row r="56" ht="14.25" customHeight="1" spans="1:7">
      <c r="A56" s="72"/>
      <c r="B56" s="73"/>
      <c r="C56" s="77" t="s">
        <v>68</v>
      </c>
      <c r="D56" s="78" t="s">
        <v>74</v>
      </c>
      <c r="E56" s="79" t="str">
        <f>IF(D56="Not Support","",IF($D$3=2,"567.7K gates","361.9K gates"))</f>
        <v/>
      </c>
      <c r="F56" s="80"/>
      <c r="G56" s="80"/>
    </row>
    <row r="57" ht="14.25" customHeight="1" spans="1:7">
      <c r="A57" s="72"/>
      <c r="B57" s="85"/>
      <c r="C57" s="86" t="s">
        <v>69</v>
      </c>
      <c r="D57" s="87" t="s">
        <v>74</v>
      </c>
      <c r="E57" s="88" t="str">
        <f>IF(D57="Not Support","",IF($D$3=2,"348.1K gates  +  120KB RAM","207.9K gates  +  96.56KB RAM"))</f>
        <v/>
      </c>
      <c r="F57" s="89"/>
      <c r="G57" s="89"/>
    </row>
    <row r="58" ht="14.25" customHeight="1" spans="1:7">
      <c r="A58" s="72"/>
      <c r="B58" s="73" t="s">
        <v>81</v>
      </c>
      <c r="C58" s="74" t="s">
        <v>65</v>
      </c>
      <c r="D58" s="75" t="str">
        <f>IF(11&lt;$D$4,"Video",IF(11&lt;$D$4+$D$5,"Graphic",IF(11&lt;$D$4+$D$5+$D$6,"Simple","Not Used")))</f>
        <v>Not Used</v>
      </c>
      <c r="E58" s="84"/>
      <c r="F58" s="84"/>
      <c r="G58" s="84"/>
    </row>
    <row r="59" ht="14.25" customHeight="1" spans="1:7">
      <c r="A59" s="72"/>
      <c r="B59" s="73"/>
      <c r="C59" s="77" t="s">
        <v>66</v>
      </c>
      <c r="D59" s="78" t="s">
        <v>74</v>
      </c>
      <c r="E59" s="79" t="str">
        <f>IF(D59="Not Support","","357.3K gates  +  5.25KB RAM")</f>
        <v/>
      </c>
      <c r="F59" s="80"/>
      <c r="G59" s="80"/>
    </row>
    <row r="60" ht="14.25" customHeight="1" spans="1:7">
      <c r="A60" s="72"/>
      <c r="B60" s="73"/>
      <c r="C60" s="77" t="s">
        <v>68</v>
      </c>
      <c r="D60" s="78" t="s">
        <v>74</v>
      </c>
      <c r="E60" s="79" t="str">
        <f>IF(D60="Not Support","",IF($D$3=2,"567.7K gates","361.9K gates"))</f>
        <v/>
      </c>
      <c r="F60" s="80"/>
      <c r="G60" s="80"/>
    </row>
    <row r="61" ht="14.25" customHeight="1" spans="1:7">
      <c r="A61" s="72"/>
      <c r="B61" s="73"/>
      <c r="C61" s="81" t="s">
        <v>69</v>
      </c>
      <c r="D61" s="82" t="s">
        <v>74</v>
      </c>
      <c r="E61" s="90" t="str">
        <f>IF(D61="Not Support","",IF($D$3=2,"348.1K gates  +  120KB RAM","207.9K gates  +  96.56KB RAM"))</f>
        <v/>
      </c>
      <c r="F61" s="83"/>
      <c r="G61" s="83"/>
    </row>
    <row r="63" spans="1:7">
      <c r="A63" s="66" t="s">
        <v>82</v>
      </c>
      <c r="B63" s="67"/>
      <c r="C63" s="67"/>
      <c r="D63" s="68"/>
      <c r="E63" s="67"/>
      <c r="F63" s="67"/>
      <c r="G63" s="67"/>
    </row>
    <row r="64" ht="13.5" customHeight="1" spans="1:7">
      <c r="A64" s="91" t="s">
        <v>28</v>
      </c>
      <c r="B64" s="91" t="s">
        <v>83</v>
      </c>
      <c r="C64" s="91" t="s">
        <v>63</v>
      </c>
      <c r="D64" s="92"/>
      <c r="E64" s="52" t="s">
        <v>31</v>
      </c>
      <c r="F64" s="91" t="s">
        <v>32</v>
      </c>
      <c r="G64" s="71" t="s">
        <v>33</v>
      </c>
    </row>
    <row r="65" ht="13.5" spans="1:7">
      <c r="A65" s="93" t="s">
        <v>52</v>
      </c>
      <c r="B65" s="94" t="s">
        <v>84</v>
      </c>
      <c r="C65" s="74" t="s">
        <v>85</v>
      </c>
      <c r="D65" s="75" t="str">
        <f>IF(0&lt;$D$8,"Enable","Not Used")</f>
        <v>Enable</v>
      </c>
      <c r="E65" s="95"/>
      <c r="F65" s="76"/>
      <c r="G65" s="76"/>
    </row>
    <row r="66" ht="13.5" spans="1:7">
      <c r="A66" s="96"/>
      <c r="B66" s="94"/>
      <c r="C66" s="77" t="s">
        <v>86</v>
      </c>
      <c r="D66" s="78" t="s">
        <v>67</v>
      </c>
      <c r="E66" s="79" t="str">
        <f>IF(D66="Not Support","",IF($D$3=2,"138.5K gates","88.0K gates"))</f>
        <v>138.5K gates</v>
      </c>
      <c r="F66" s="80"/>
      <c r="G66" s="80"/>
    </row>
    <row r="67" ht="13.5" spans="1:7">
      <c r="A67" s="96"/>
      <c r="B67" s="94"/>
      <c r="C67" s="77" t="s">
        <v>87</v>
      </c>
      <c r="D67" s="78" t="s">
        <v>74</v>
      </c>
      <c r="E67" s="79" t="str">
        <f>IF(D67="Not Support","",IF($D$3=2,"348.1K gates  +  96.56KB RAM","207.9K gates  +  96.56KB RAM"))</f>
        <v/>
      </c>
      <c r="F67" s="80"/>
      <c r="G67" s="80"/>
    </row>
    <row r="68" ht="13.5" spans="1:7">
      <c r="A68" s="96"/>
      <c r="B68" s="94"/>
      <c r="C68" s="77" t="s">
        <v>88</v>
      </c>
      <c r="D68" s="78" t="s">
        <v>74</v>
      </c>
      <c r="E68" s="79" t="str">
        <f>IF(D68="Not Support","",IF($D$3=2,"2540.1K gates  +  139.1KB RAM","452.6K gates  +  50KB RAM"))</f>
        <v/>
      </c>
      <c r="F68" s="80"/>
      <c r="G68" s="80"/>
    </row>
    <row r="69" ht="13.5" spans="1:7">
      <c r="A69" s="96"/>
      <c r="B69" s="94"/>
      <c r="C69" s="77" t="s">
        <v>89</v>
      </c>
      <c r="D69" s="78" t="s">
        <v>74</v>
      </c>
      <c r="E69" s="79" t="str">
        <f>IF(D69="Not Support","",IF($D$3=2,"1047.6K gates  +  96KB RAM","523.8K gates  +  96KB RAM"))</f>
        <v/>
      </c>
      <c r="F69" s="80"/>
      <c r="G69" s="80"/>
    </row>
    <row r="70" ht="13.5" customHeight="1" spans="1:7">
      <c r="A70" s="96"/>
      <c r="B70" s="94"/>
      <c r="C70" s="81" t="s">
        <v>90</v>
      </c>
      <c r="D70" s="82" t="s">
        <v>67</v>
      </c>
      <c r="E70" s="79" t="str">
        <f>IF(D70="Not Support","",IF($D$3=2,"82.4K gates  +  57.56KB RAM","46.6K gates  +  28.78KB RAM"))</f>
        <v>82.4K gates  +  57.56KB RAM</v>
      </c>
      <c r="F70" s="83"/>
      <c r="G70" s="83"/>
    </row>
    <row r="71" ht="13.5" spans="1:7">
      <c r="A71" s="96"/>
      <c r="B71" s="94" t="s">
        <v>91</v>
      </c>
      <c r="C71" s="74" t="s">
        <v>85</v>
      </c>
      <c r="D71" s="75" t="str">
        <f>IF(1&lt;$D$8,"Enable","Not Used")</f>
        <v>Enable</v>
      </c>
      <c r="E71" s="95"/>
      <c r="F71" s="76"/>
      <c r="G71" s="76"/>
    </row>
    <row r="72" ht="13.5" spans="1:7">
      <c r="A72" s="96"/>
      <c r="B72" s="94"/>
      <c r="C72" s="77" t="s">
        <v>86</v>
      </c>
      <c r="D72" s="78" t="s">
        <v>67</v>
      </c>
      <c r="E72" s="79" t="str">
        <f>IF(D72="Not Support","",IF($D$3=2,"138.5K gates","88.0K gates"))</f>
        <v>138.5K gates</v>
      </c>
      <c r="F72" s="80"/>
      <c r="G72" s="80"/>
    </row>
    <row r="73" ht="13.5" spans="1:7">
      <c r="A73" s="96"/>
      <c r="B73" s="94"/>
      <c r="C73" s="77" t="s">
        <v>87</v>
      </c>
      <c r="D73" s="78" t="s">
        <v>74</v>
      </c>
      <c r="E73" s="79" t="str">
        <f>IF(D73="Not Support","",IF($D$3=2,"348.1K gates  +  96.56KB RAM","207.9K gates  +  96.56KB RAM"))</f>
        <v/>
      </c>
      <c r="F73" s="80"/>
      <c r="G73" s="80"/>
    </row>
    <row r="74" ht="13.5" spans="1:7">
      <c r="A74" s="96"/>
      <c r="B74" s="94"/>
      <c r="C74" s="77" t="s">
        <v>88</v>
      </c>
      <c r="D74" s="78" t="s">
        <v>74</v>
      </c>
      <c r="E74" s="79" t="str">
        <f>IF(D74="Not Support","",IF($D$3=2,"2540.1K gates  +  139.1KB RAM","452.6K gates  +  50KB RAM"))</f>
        <v/>
      </c>
      <c r="F74" s="80"/>
      <c r="G74" s="80"/>
    </row>
    <row r="75" ht="13.5" spans="1:7">
      <c r="A75" s="96"/>
      <c r="B75" s="94"/>
      <c r="C75" s="77" t="s">
        <v>89</v>
      </c>
      <c r="D75" s="78" t="s">
        <v>74</v>
      </c>
      <c r="E75" s="79" t="str">
        <f>IF(D75="Not Support","",IF($D$3=2,"1047.6K gates  +  96KB RAM","523.8K gates  +  96KB RAM"))</f>
        <v/>
      </c>
      <c r="F75" s="80"/>
      <c r="G75" s="80"/>
    </row>
    <row r="76" ht="13.5" customHeight="1" spans="1:7">
      <c r="A76" s="96"/>
      <c r="B76" s="94"/>
      <c r="C76" s="81" t="s">
        <v>90</v>
      </c>
      <c r="D76" s="82" t="s">
        <v>67</v>
      </c>
      <c r="E76" s="88" t="str">
        <f>IF(D76="Not Support","",IF($D$3=2,"82.4K gates  +  57.56KB RAM","46.6K gates  +  28.78KB RAM"))</f>
        <v>82.4K gates  +  57.56KB RAM</v>
      </c>
      <c r="F76" s="83"/>
      <c r="G76" s="83"/>
    </row>
    <row r="77" ht="13.5" spans="1:7">
      <c r="A77" s="96"/>
      <c r="B77" s="94" t="s">
        <v>92</v>
      </c>
      <c r="C77" s="74" t="s">
        <v>85</v>
      </c>
      <c r="D77" s="75" t="str">
        <f>IF(2&lt;$D$8,"Enable","Not Used")</f>
        <v>Enable</v>
      </c>
      <c r="E77" s="97"/>
      <c r="F77" s="76"/>
      <c r="G77" s="76"/>
    </row>
    <row r="78" ht="13.5" spans="1:7">
      <c r="A78" s="96"/>
      <c r="B78" s="94"/>
      <c r="C78" s="77" t="s">
        <v>86</v>
      </c>
      <c r="D78" s="78" t="s">
        <v>67</v>
      </c>
      <c r="E78" s="79" t="str">
        <f>IF(D78="Not Support","",IF($D$3=2,"138.5K gates","88.0K gates"))</f>
        <v>138.5K gates</v>
      </c>
      <c r="F78" s="80"/>
      <c r="G78" s="80"/>
    </row>
    <row r="79" ht="13.5" spans="1:7">
      <c r="A79" s="96"/>
      <c r="B79" s="94"/>
      <c r="C79" s="77" t="s">
        <v>87</v>
      </c>
      <c r="D79" s="78" t="s">
        <v>74</v>
      </c>
      <c r="E79" s="79" t="str">
        <f>IF(D79="Not Support","",IF($D$3=2,"348.1K gates  +  96.56KB RAM","207.9K gates  +  96.56KB RAM"))</f>
        <v/>
      </c>
      <c r="F79" s="80"/>
      <c r="G79" s="80"/>
    </row>
    <row r="80" ht="13.5" customHeight="1" spans="1:7">
      <c r="A80" s="96"/>
      <c r="B80" s="85"/>
      <c r="C80" s="86" t="s">
        <v>90</v>
      </c>
      <c r="D80" s="82" t="s">
        <v>67</v>
      </c>
      <c r="E80" s="90" t="str">
        <f>IF(D80="Not Support","",IF($D$3=2,"82.4K gates  +  57.56KB RAM","46.6K gates  +  28.78KB RAM"))</f>
        <v>82.4K gates  +  57.56KB RAM</v>
      </c>
      <c r="F80" s="89"/>
      <c r="G80" s="89"/>
    </row>
    <row r="81" ht="13.5" spans="1:7">
      <c r="A81" s="96"/>
      <c r="B81" s="94" t="s">
        <v>93</v>
      </c>
      <c r="C81" s="74" t="s">
        <v>85</v>
      </c>
      <c r="D81" s="75" t="str">
        <f>IF(3&lt;$D$8,"Enable","Not Used")</f>
        <v>Enable</v>
      </c>
      <c r="E81" s="97"/>
      <c r="F81" s="76"/>
      <c r="G81" s="76"/>
    </row>
    <row r="82" ht="13.5" spans="1:7">
      <c r="A82" s="96"/>
      <c r="B82" s="94"/>
      <c r="C82" s="77" t="s">
        <v>86</v>
      </c>
      <c r="D82" s="78" t="s">
        <v>67</v>
      </c>
      <c r="E82" s="79" t="str">
        <f>IF(D82="Not Support","",IF($D$3=2,"138.5K gates","88.0K gates"))</f>
        <v>138.5K gates</v>
      </c>
      <c r="F82" s="80"/>
      <c r="G82" s="80"/>
    </row>
    <row r="83" ht="13.5" spans="1:7">
      <c r="A83" s="96"/>
      <c r="B83" s="94"/>
      <c r="C83" s="77" t="s">
        <v>87</v>
      </c>
      <c r="D83" s="78" t="s">
        <v>74</v>
      </c>
      <c r="E83" s="79" t="str">
        <f>IF(D83="Not Support","",IF($D$3=2,"348.1K gates  +  96.56KB RAM","207.9K gates  +  96.56KB RAM"))</f>
        <v/>
      </c>
      <c r="F83" s="80"/>
      <c r="G83" s="80"/>
    </row>
    <row r="84" ht="13.5" customHeight="1" spans="1:7">
      <c r="A84" s="96"/>
      <c r="B84" s="85"/>
      <c r="C84" s="86" t="s">
        <v>90</v>
      </c>
      <c r="D84" s="87" t="s">
        <v>67</v>
      </c>
      <c r="E84" s="88" t="str">
        <f>IF(D84="Not Support","",IF($D$3=2,"82.4K gates  +  57.56KB RAM","46.6K gates  +  28.78KB RAM"))</f>
        <v>82.4K gates  +  57.56KB RAM</v>
      </c>
      <c r="F84" s="89"/>
      <c r="G84" s="89"/>
    </row>
    <row r="85" spans="1:7">
      <c r="A85" s="96"/>
      <c r="B85" s="98" t="s">
        <v>94</v>
      </c>
      <c r="C85" s="99" t="s">
        <v>95</v>
      </c>
      <c r="D85" s="75">
        <v>1</v>
      </c>
      <c r="E85" s="76" t="str">
        <f>IF(D85="Not Uesd","",IF(D3=1,196*D85&amp;"K gates ,"&amp;16*D85&amp;"KB RAM",382*D85&amp;"K gates,"&amp;16*D85&amp;"KB RAM"))</f>
        <v>382K gates,16KB RAM</v>
      </c>
      <c r="F85" s="100"/>
      <c r="G85" s="100"/>
    </row>
    <row r="86" spans="1:7">
      <c r="A86" s="96"/>
      <c r="B86" s="101"/>
      <c r="C86" s="102" t="s">
        <v>96</v>
      </c>
      <c r="D86" s="78" t="s">
        <v>97</v>
      </c>
      <c r="E86" s="103" t="str">
        <f>IF(D85="Not Used","",IF(D86="Linear only",16*D85&amp;"KB RAM",8*D85&amp;"KB RAM"))</f>
        <v>8KB RAM</v>
      </c>
      <c r="F86" s="104"/>
      <c r="G86" s="104"/>
    </row>
    <row r="87" ht="13.5" spans="1:7">
      <c r="A87" s="105"/>
      <c r="B87" s="106"/>
      <c r="C87" s="107" t="s">
        <v>98</v>
      </c>
      <c r="D87" s="82" t="s">
        <v>99</v>
      </c>
      <c r="E87" s="108" t="str">
        <f>IF(D85="Not Used","",IF(D87="Offline write back only","",2*D85&amp;"KB RAM"))</f>
        <v>2KB RAM</v>
      </c>
      <c r="F87" s="109"/>
      <c r="G87" s="109"/>
    </row>
    <row r="89" spans="1:7">
      <c r="A89" s="110" t="s">
        <v>100</v>
      </c>
    </row>
  </sheetData>
  <sheetProtection selectLockedCells="1"/>
  <mergeCells count="34">
    <mergeCell ref="A1:G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2:G12"/>
    <mergeCell ref="C13:D13"/>
    <mergeCell ref="A63:G63"/>
    <mergeCell ref="C64:D64"/>
    <mergeCell ref="A4:A7"/>
    <mergeCell ref="A14:A61"/>
    <mergeCell ref="A65:A87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5:B70"/>
    <mergeCell ref="B71:B76"/>
    <mergeCell ref="B77:B80"/>
    <mergeCell ref="B81:B84"/>
    <mergeCell ref="B85:B87"/>
  </mergeCells>
  <conditionalFormatting sqref="D9">
    <cfRule type="expression" dxfId="0" priority="11">
      <formula>$G9="NA"</formula>
    </cfRule>
    <cfRule type="expression" dxfId="0" priority="12">
      <formula>$G9="Not Supported"</formula>
    </cfRule>
  </conditionalFormatting>
  <conditionalFormatting sqref="C64">
    <cfRule type="cellIs" dxfId="1" priority="91" operator="equal">
      <formula>"Not Support"</formula>
    </cfRule>
  </conditionalFormatting>
  <conditionalFormatting sqref="D2:D10">
    <cfRule type="cellIs" dxfId="1" priority="10" operator="equal">
      <formula>"Not Support"</formula>
    </cfRule>
  </conditionalFormatting>
  <conditionalFormatting sqref="D15:D17">
    <cfRule type="cellIs" dxfId="1" priority="108" operator="equal">
      <formula>"Not Support"</formula>
    </cfRule>
  </conditionalFormatting>
  <conditionalFormatting sqref="D19:D21">
    <cfRule type="cellIs" dxfId="1" priority="27" operator="equal">
      <formula>"Not Support"</formula>
    </cfRule>
  </conditionalFormatting>
  <conditionalFormatting sqref="D23:D25">
    <cfRule type="cellIs" dxfId="1" priority="3" operator="equal">
      <formula>"Not Support"</formula>
    </cfRule>
  </conditionalFormatting>
  <conditionalFormatting sqref="D27:D29">
    <cfRule type="cellIs" dxfId="1" priority="1" operator="equal">
      <formula>"Not Support"</formula>
    </cfRule>
  </conditionalFormatting>
  <conditionalFormatting sqref="D31:D33">
    <cfRule type="cellIs" dxfId="1" priority="24" operator="equal">
      <formula>"Not Support"</formula>
    </cfRule>
  </conditionalFormatting>
  <conditionalFormatting sqref="D35:D37">
    <cfRule type="cellIs" dxfId="1" priority="23" operator="equal">
      <formula>"Not Support"</formula>
    </cfRule>
  </conditionalFormatting>
  <conditionalFormatting sqref="D39:D41">
    <cfRule type="cellIs" dxfId="1" priority="22" operator="equal">
      <formula>"Not Support"</formula>
    </cfRule>
  </conditionalFormatting>
  <conditionalFormatting sqref="D43:D45">
    <cfRule type="cellIs" dxfId="1" priority="21" operator="equal">
      <formula>"Not Support"</formula>
    </cfRule>
  </conditionalFormatting>
  <conditionalFormatting sqref="D47:D49">
    <cfRule type="cellIs" dxfId="1" priority="20" operator="equal">
      <formula>"Not Support"</formula>
    </cfRule>
  </conditionalFormatting>
  <conditionalFormatting sqref="D51:D53">
    <cfRule type="cellIs" dxfId="1" priority="18" operator="equal">
      <formula>"Not Support"</formula>
    </cfRule>
  </conditionalFormatting>
  <conditionalFormatting sqref="D55:D57">
    <cfRule type="cellIs" dxfId="1" priority="19" operator="equal">
      <formula>"Not Support"</formula>
    </cfRule>
  </conditionalFormatting>
  <conditionalFormatting sqref="D59:D61">
    <cfRule type="cellIs" dxfId="1" priority="17" operator="equal">
      <formula>"Not Support"</formula>
    </cfRule>
  </conditionalFormatting>
  <conditionalFormatting sqref="D66:D70">
    <cfRule type="cellIs" dxfId="1" priority="104" operator="equal">
      <formula>"Not Support"</formula>
    </cfRule>
  </conditionalFormatting>
  <conditionalFormatting sqref="D72:D76">
    <cfRule type="cellIs" dxfId="1" priority="47" operator="equal">
      <formula>"Not Support"</formula>
    </cfRule>
  </conditionalFormatting>
  <conditionalFormatting sqref="D78:D80">
    <cfRule type="cellIs" dxfId="1" priority="44" operator="equal">
      <formula>"Not Support"</formula>
    </cfRule>
  </conditionalFormatting>
  <conditionalFormatting sqref="D82:D84">
    <cfRule type="cellIs" dxfId="1" priority="40" operator="equal">
      <formula>"Not Support"</formula>
    </cfRule>
  </conditionalFormatting>
  <conditionalFormatting sqref="D85:D87">
    <cfRule type="cellIs" dxfId="2" priority="7" operator="equal">
      <formula>"Not Used"</formula>
    </cfRule>
  </conditionalFormatting>
  <conditionalFormatting sqref="D86:D87">
    <cfRule type="cellIs" dxfId="1" priority="6" operator="equal">
      <formula>"Not Support"</formula>
    </cfRule>
  </conditionalFormatting>
  <conditionalFormatting sqref="E65:E84">
    <cfRule type="cellIs" dxfId="2" priority="8" operator="equal">
      <formula>"Not Used"</formula>
    </cfRule>
  </conditionalFormatting>
  <conditionalFormatting sqref="G65:G84">
    <cfRule type="cellIs" dxfId="2" priority="84" operator="equal">
      <formula>"Not Used"</formula>
    </cfRule>
  </conditionalFormatting>
  <conditionalFormatting sqref="C11 C13 C62 C87:C1048576">
    <cfRule type="cellIs" dxfId="1" priority="145" operator="equal">
      <formula>"Not Support"</formula>
    </cfRule>
  </conditionalFormatting>
  <conditionalFormatting sqref="A14:G61">
    <cfRule type="cellIs" dxfId="2" priority="9" operator="equal">
      <formula>"Not Used"</formula>
    </cfRule>
  </conditionalFormatting>
  <conditionalFormatting sqref="A62:F62 A63 A64:D65 F64:F84 B66:D84">
    <cfRule type="cellIs" dxfId="2" priority="90" operator="equal">
      <formula>"Not Used"</formula>
    </cfRule>
  </conditionalFormatting>
  <dataValidations count="12">
    <dataValidation type="list" allowBlank="1" showInputMessage="1" showErrorMessage="1" sqref="D3">
      <formula1>"1,2"</formula1>
    </dataValidation>
    <dataValidation type="list" allowBlank="1" showInputMessage="1" showErrorMessage="1" sqref="D4">
      <formula1>"1,2,3,4,5,6,7,8,9,10,11,12,0"</formula1>
    </dataValidation>
    <dataValidation type="list" allowBlank="1" showInputMessage="1" showErrorMessage="1" sqref="D7">
      <formula1>"0,1,2,3,4"</formula1>
    </dataValidation>
    <dataValidation type="list" allowBlank="1" showInputMessage="1" showErrorMessage="1" sqref="D8">
      <formula1>"1,2,3,4"</formula1>
    </dataValidation>
    <dataValidation type="list" allowBlank="1" showInputMessage="1" showErrorMessage="1" sqref="D9">
      <formula1>"Not Support,DEC400,DEC400A,DEC400P"</formula1>
    </dataValidation>
    <dataValidation type="list" allowBlank="1" showInputMessage="1" showErrorMessage="1" sqref="D10">
      <formula1>"128bits,256bits"</formula1>
    </dataValidation>
    <dataValidation type="list" allowBlank="1" showInputMessage="1" showErrorMessage="1" sqref="D15 D17 D19 D21 D23 D25 D27 D29 D31 D33 D35 D37 D39 D41 D43 D45 D47 D49 D51 D53 D55 D57 D59 D61 D66:D70 D72:D76 D78:D80 D82:D84">
      <formula1>"Support,Not Support"</formula1>
    </dataValidation>
    <dataValidation type="list" allowBlank="1" showInputMessage="1" showErrorMessage="1" sqref="D16 D20 D24 D28 D32 D36 D40 D44 D48 D52 D56 D60">
      <formula1>"Not Support,Support"</formula1>
    </dataValidation>
    <dataValidation type="list" allowBlank="1" showInputMessage="1" showErrorMessage="1" sqref="D85">
      <formula1>"1,2,Not Used"</formula1>
    </dataValidation>
    <dataValidation type="list" allowBlank="1" showInputMessage="1" showErrorMessage="1" sqref="D86">
      <formula1>"Tile &amp; Linear,Linear only"</formula1>
    </dataValidation>
    <dataValidation type="list" allowBlank="1" showInputMessage="1" showErrorMessage="1" sqref="D87">
      <formula1>"On-Line&amp;Offline write back,Offline write back only"</formula1>
    </dataValidation>
    <dataValidation type="list" allowBlank="1" showInputMessage="1" showErrorMessage="1" sqref="D5:D6">
      <formula1>"0,1,2,3,4,5,6,7,8,9,10,11,12"</formula1>
    </dataValidation>
  </dataValidation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5"/>
  <sheetViews>
    <sheetView tabSelected="1" zoomScale="190" zoomScaleNormal="190" topLeftCell="A101" workbookViewId="0">
      <selection activeCell="D117" sqref="D117"/>
    </sheetView>
  </sheetViews>
  <sheetFormatPr defaultColWidth="8.5" defaultRowHeight="14.25" outlineLevelCol="4"/>
  <cols>
    <col min="1" max="1" width="14.6666666666667" customWidth="1"/>
    <col min="2" max="2" width="11.9166666666667" customWidth="1"/>
    <col min="3" max="3" width="33.9166666666667" customWidth="1"/>
    <col min="4" max="4" width="19.8333333333333" customWidth="1"/>
    <col min="5" max="5" width="21.4166666666667" customWidth="1"/>
  </cols>
  <sheetData>
    <row r="1" s="18" customFormat="1" spans="1:5">
      <c r="A1" s="19" t="s">
        <v>28</v>
      </c>
      <c r="B1" s="19"/>
      <c r="C1" s="19" t="s">
        <v>29</v>
      </c>
      <c r="D1" s="19"/>
      <c r="E1" s="15" t="s">
        <v>101</v>
      </c>
    </row>
    <row r="2" spans="1:5">
      <c r="A2" s="20" t="s">
        <v>102</v>
      </c>
      <c r="B2" s="20"/>
      <c r="C2" s="20"/>
      <c r="D2" s="21" t="str">
        <f>IF(D7=1,"DC9000","DC9"&amp;D7&amp;"00")&amp;IF(Configuration!D3=1,"L","")</f>
        <v>DC9400</v>
      </c>
      <c r="E2" s="22"/>
    </row>
    <row r="3" ht="15" customHeight="1" spans="1:5">
      <c r="A3" s="23" t="s">
        <v>103</v>
      </c>
      <c r="B3" s="23"/>
      <c r="C3" s="24" t="s">
        <v>104</v>
      </c>
      <c r="D3" s="25" t="str">
        <f>IF(Configuration!D3=1,"4K@60fps","4K@120fps")</f>
        <v>4K@120fps</v>
      </c>
      <c r="E3" s="22"/>
    </row>
    <row r="4" spans="1:5">
      <c r="A4" s="23"/>
      <c r="B4" s="23"/>
      <c r="C4" s="24" t="s">
        <v>105</v>
      </c>
      <c r="D4" s="25" t="str">
        <f>IF(Configuration!D3=1,IF(D7&gt;1,"4K@120fps","Not Support"),IF(D7=1,"Not Support","8K@60fps"))</f>
        <v>8K@60fps</v>
      </c>
      <c r="E4" s="22" t="s">
        <v>106</v>
      </c>
    </row>
    <row r="5" spans="1:5">
      <c r="A5" s="20" t="s">
        <v>107</v>
      </c>
      <c r="B5" s="20"/>
      <c r="C5" s="22" t="s">
        <v>108</v>
      </c>
      <c r="D5" s="25">
        <f>Configuration!D3</f>
        <v>2</v>
      </c>
      <c r="E5" s="22"/>
    </row>
    <row r="6" spans="1:5">
      <c r="A6" s="26" t="s">
        <v>109</v>
      </c>
      <c r="B6" s="26"/>
      <c r="C6" s="22" t="s">
        <v>39</v>
      </c>
      <c r="D6" s="27">
        <f>2</f>
        <v>2</v>
      </c>
      <c r="E6" s="22"/>
    </row>
    <row r="7" spans="1:5">
      <c r="A7" s="26"/>
      <c r="B7" s="26"/>
      <c r="C7" s="22" t="s">
        <v>52</v>
      </c>
      <c r="D7" s="25">
        <f>Configuration!D8</f>
        <v>4</v>
      </c>
      <c r="E7" s="22"/>
    </row>
    <row r="8" spans="1:5">
      <c r="A8" s="26" t="s">
        <v>110</v>
      </c>
      <c r="B8" s="26"/>
      <c r="C8" s="22" t="s">
        <v>56</v>
      </c>
      <c r="D8" s="25" t="str">
        <f>Configuration!D9</f>
        <v>DEC400</v>
      </c>
      <c r="E8" s="22"/>
    </row>
    <row r="9" spans="1:5">
      <c r="A9" s="26" t="s">
        <v>111</v>
      </c>
      <c r="B9" s="28"/>
      <c r="C9" s="22" t="s">
        <v>112</v>
      </c>
      <c r="D9" s="25" t="s">
        <v>113</v>
      </c>
      <c r="E9" s="22" t="s">
        <v>114</v>
      </c>
    </row>
    <row r="10" spans="1:5">
      <c r="A10" s="29"/>
      <c r="B10" s="30"/>
      <c r="C10" s="22" t="s">
        <v>115</v>
      </c>
      <c r="D10" s="27" t="str">
        <f>"4 x"&amp;Configuration!D10</f>
        <v>4 x256bits</v>
      </c>
      <c r="E10" s="22"/>
    </row>
    <row r="11" spans="1:5">
      <c r="A11" s="29"/>
      <c r="B11" s="30"/>
      <c r="C11" s="22" t="s">
        <v>116</v>
      </c>
      <c r="D11" s="25" t="str">
        <f>IF(Configuration!D87="Not Used","Not Support","1x"&amp;Configuration!D10)</f>
        <v>1x256bits</v>
      </c>
      <c r="E11" s="22" t="s">
        <v>117</v>
      </c>
    </row>
    <row r="12" spans="1:5">
      <c r="A12" s="26" t="s">
        <v>118</v>
      </c>
      <c r="B12" s="28"/>
      <c r="C12" s="22" t="s">
        <v>119</v>
      </c>
      <c r="D12" s="27" t="str">
        <f>D6+1&amp;"x32bits"</f>
        <v>3x32bits</v>
      </c>
      <c r="E12" s="22"/>
    </row>
    <row r="13" spans="1:5">
      <c r="A13" s="25" t="s">
        <v>39</v>
      </c>
      <c r="B13" s="31" t="s">
        <v>120</v>
      </c>
      <c r="C13" s="31"/>
      <c r="D13" s="25">
        <f>Configuration!D7</f>
        <v>4</v>
      </c>
      <c r="E13" s="22"/>
    </row>
    <row r="14" spans="1:5">
      <c r="A14" s="25"/>
      <c r="B14" s="32" t="s">
        <v>64</v>
      </c>
      <c r="C14" s="33" t="s">
        <v>121</v>
      </c>
      <c r="D14" s="34" t="str">
        <f>Configuration!D14</f>
        <v>Video</v>
      </c>
      <c r="E14" s="22"/>
    </row>
    <row r="15" spans="1:5">
      <c r="A15" s="25"/>
      <c r="B15" s="35"/>
      <c r="C15" s="22" t="s">
        <v>122</v>
      </c>
      <c r="D15" s="34" t="str">
        <f>IF(Configuration!D14="Not Used","",IF(Configuration!D14="Video","YUV+RGB format;",IF(Configuration!D14="Graphic","RGB format only;",IF(Configuration!D14="Simple","Linear YUV+RGB format;","ARGB8"))))</f>
        <v>YUV+RGB format;</v>
      </c>
      <c r="E15" s="22"/>
    </row>
    <row r="16" spans="1:5">
      <c r="A16" s="25"/>
      <c r="B16" s="35"/>
      <c r="C16" s="22" t="s">
        <v>96</v>
      </c>
      <c r="D16" s="34" t="str">
        <f>IF(Configuration!D14="Not Used","",IF(OR(Configuration!D14="Simple",Configuration!D14="Cursor"),"Linear","Tile&amp;Linear"))</f>
        <v>Tile&amp;Linear</v>
      </c>
      <c r="E16" s="22"/>
    </row>
    <row r="17" spans="1:5">
      <c r="A17" s="25"/>
      <c r="B17" s="35"/>
      <c r="C17" s="22" t="s">
        <v>110</v>
      </c>
      <c r="D17" s="34" t="str">
        <f>Configuration!D15</f>
        <v>Support</v>
      </c>
      <c r="E17" s="22"/>
    </row>
    <row r="18" spans="1:5">
      <c r="A18" s="25"/>
      <c r="B18" s="35"/>
      <c r="C18" s="22" t="s">
        <v>123</v>
      </c>
      <c r="D18" s="34" t="str">
        <f>IF(Configuration!D14="Not Used","",IF(Configuration!D14="Cursor","256x256","4096x2160"))</f>
        <v>4096x2160</v>
      </c>
      <c r="E18" s="22"/>
    </row>
    <row r="19" spans="1:5">
      <c r="A19" s="25"/>
      <c r="B19" s="35"/>
      <c r="C19" s="22" t="s">
        <v>124</v>
      </c>
      <c r="D19" s="34" t="str">
        <f>IF(Configuration!D14="Not Used","",IF(OR(Configuration!D14="Video",Configuration!D14="Graphic"),"Support","Not Support"))</f>
        <v>Support</v>
      </c>
      <c r="E19" s="22" t="s">
        <v>125</v>
      </c>
    </row>
    <row r="20" spans="1:5">
      <c r="A20" s="25"/>
      <c r="B20" s="35"/>
      <c r="C20" s="22" t="s">
        <v>126</v>
      </c>
      <c r="D20" s="34" t="str">
        <f>IF(Configuration!D14="Not Used","",IF(Configuration!D14="Cursor","Not Support","Support"))</f>
        <v>Support</v>
      </c>
      <c r="E20" s="22" t="s">
        <v>127</v>
      </c>
    </row>
    <row r="21" spans="1:5">
      <c r="A21" s="25"/>
      <c r="B21" s="35"/>
      <c r="C21" s="22" t="s">
        <v>128</v>
      </c>
      <c r="D21" s="34" t="str">
        <f>IF(Configuration!D14="Not Used","","Support")</f>
        <v>Support</v>
      </c>
      <c r="E21" s="22"/>
    </row>
    <row r="22" spans="1:5">
      <c r="A22" s="25"/>
      <c r="B22" s="35"/>
      <c r="C22" s="22" t="s">
        <v>129</v>
      </c>
      <c r="D22" s="34" t="str">
        <f>IF(Configuration!D14="Not Used","","Support")</f>
        <v>Support</v>
      </c>
      <c r="E22" s="22"/>
    </row>
    <row r="23" spans="1:5">
      <c r="A23" s="25"/>
      <c r="B23" s="35"/>
      <c r="C23" s="22" t="s">
        <v>130</v>
      </c>
      <c r="D23" s="34" t="str">
        <f>IF(Configuration!D14="Not Used","","Support")</f>
        <v>Support</v>
      </c>
      <c r="E23" s="22"/>
    </row>
    <row r="24" spans="1:5">
      <c r="A24" s="25"/>
      <c r="B24" s="35"/>
      <c r="C24" s="22" t="s">
        <v>69</v>
      </c>
      <c r="D24" s="34" t="str">
        <f>Configuration!D17</f>
        <v>Support</v>
      </c>
      <c r="E24" s="22" t="str">
        <f>IF(Configuration!D17="Support",IF(Configuration!D14="Video",Configuration!G4,""),"")</f>
        <v>Layer number configrable; Default 1;
YUV+RGB format;
Tile/Rotation/FlipX,Y/Scaler;
Fetch up to 4 images from memory by one layer without overlap in vertical (SuperDMA1.0)</v>
      </c>
    </row>
    <row r="25" spans="1:5">
      <c r="A25" s="25"/>
      <c r="B25" s="35"/>
      <c r="C25" s="22" t="s">
        <v>68</v>
      </c>
      <c r="D25" s="34" t="str">
        <f>Configuration!D16</f>
        <v>Support</v>
      </c>
      <c r="E25" s="31"/>
    </row>
    <row r="26" spans="1:5">
      <c r="A26" s="25"/>
      <c r="B26" s="35"/>
      <c r="C26" s="22" t="s">
        <v>131</v>
      </c>
      <c r="D26" s="34" t="str">
        <f>IF(Configuration!D14="Not Used","",IF(OR(Configuration!D14="Video",Configuration!D14="Simple"),"Support","Not Support"))</f>
        <v>Support</v>
      </c>
      <c r="E26" s="22"/>
    </row>
    <row r="27" spans="1:5">
      <c r="A27" s="25"/>
      <c r="B27" s="35"/>
      <c r="C27" s="22" t="s">
        <v>132</v>
      </c>
      <c r="D27" s="34" t="str">
        <f>IF(Configuration!D14="Not Used","","Support")</f>
        <v>Support</v>
      </c>
      <c r="E27" s="22"/>
    </row>
    <row r="28" spans="1:5">
      <c r="A28" s="25"/>
      <c r="B28" s="35" t="s">
        <v>70</v>
      </c>
      <c r="C28" s="22" t="s">
        <v>121</v>
      </c>
      <c r="D28" s="34" t="str">
        <f>Configuration!D18</f>
        <v>Video</v>
      </c>
      <c r="E28" s="22"/>
    </row>
    <row r="29" spans="1:5">
      <c r="A29" s="25"/>
      <c r="B29" s="35"/>
      <c r="C29" s="22" t="s">
        <v>122</v>
      </c>
      <c r="D29" s="34" t="str">
        <f>IF(Configuration!D18="Not Used","",IF(Configuration!D18="Video","YUV+RGB format;",IF(Configuration!D18="Graphic","RGB format only;",IF(Configuration!D18="Simple","Linear YUV+RGB format;","ARGB8"))))</f>
        <v>YUV+RGB format;</v>
      </c>
      <c r="E29" s="22"/>
    </row>
    <row r="30" spans="1:5">
      <c r="A30" s="25"/>
      <c r="B30" s="35"/>
      <c r="C30" s="22" t="s">
        <v>96</v>
      </c>
      <c r="D30" s="34" t="str">
        <f>IF(Configuration!D18="Not Used","",IF(OR(Configuration!D18="Simple",Configuration!D18="Cursor"),"Linear","Tile&amp;Linear"))</f>
        <v>Tile&amp;Linear</v>
      </c>
      <c r="E30" s="22"/>
    </row>
    <row r="31" spans="1:5">
      <c r="A31" s="25"/>
      <c r="B31" s="35"/>
      <c r="C31" s="22" t="s">
        <v>110</v>
      </c>
      <c r="D31" s="34" t="str">
        <f>Configuration!D19</f>
        <v>Support</v>
      </c>
      <c r="E31" s="22"/>
    </row>
    <row r="32" spans="1:5">
      <c r="A32" s="25"/>
      <c r="B32" s="35"/>
      <c r="C32" s="22" t="s">
        <v>123</v>
      </c>
      <c r="D32" s="34" t="str">
        <f>IF(Configuration!D18="Not Used","",IF(Configuration!D18="Cursor","256x256","4096x2160"))</f>
        <v>4096x2160</v>
      </c>
      <c r="E32" s="22"/>
    </row>
    <row r="33" spans="1:5">
      <c r="A33" s="25"/>
      <c r="B33" s="35"/>
      <c r="C33" s="22" t="s">
        <v>124</v>
      </c>
      <c r="D33" s="34" t="str">
        <f>IF(Configuration!D18="Not Used","",IF(OR(Configuration!D18="Video",Configuration!D18="Graphic"),"Support","Not Support"))</f>
        <v>Support</v>
      </c>
      <c r="E33" s="22" t="s">
        <v>125</v>
      </c>
    </row>
    <row r="34" spans="1:5">
      <c r="A34" s="25"/>
      <c r="B34" s="35"/>
      <c r="C34" s="22" t="s">
        <v>126</v>
      </c>
      <c r="D34" s="34" t="str">
        <f>IF(Configuration!D18="Not Used","",IF(Configuration!D18="Cursor","Not Support","Support"))</f>
        <v>Support</v>
      </c>
      <c r="E34" s="22" t="s">
        <v>127</v>
      </c>
    </row>
    <row r="35" spans="1:5">
      <c r="A35" s="25"/>
      <c r="B35" s="35"/>
      <c r="C35" s="22" t="s">
        <v>128</v>
      </c>
      <c r="D35" s="34" t="str">
        <f>IF(Configuration!D18="Not Used","","Support")</f>
        <v>Support</v>
      </c>
      <c r="E35" s="22"/>
    </row>
    <row r="36" spans="1:5">
      <c r="A36" s="25"/>
      <c r="B36" s="35"/>
      <c r="C36" s="22" t="s">
        <v>129</v>
      </c>
      <c r="D36" s="34" t="str">
        <f>IF(Configuration!D18="Not Used","","Support")</f>
        <v>Support</v>
      </c>
      <c r="E36" s="22"/>
    </row>
    <row r="37" spans="1:5">
      <c r="A37" s="25"/>
      <c r="B37" s="35"/>
      <c r="C37" s="22" t="s">
        <v>130</v>
      </c>
      <c r="D37" s="34" t="str">
        <f>IF(Configuration!D18="Not Used","","Support")</f>
        <v>Support</v>
      </c>
      <c r="E37" s="22"/>
    </row>
    <row r="38" spans="1:5">
      <c r="A38" s="25"/>
      <c r="B38" s="35"/>
      <c r="C38" s="22" t="s">
        <v>69</v>
      </c>
      <c r="D38" s="34" t="str">
        <f>Configuration!D21</f>
        <v>Support</v>
      </c>
      <c r="E38" s="22" t="str">
        <f>IF(Configuration!D21="Support",IF(Configuration!D18="Video",Configuration!G4,""),"")</f>
        <v>Layer number configrable; Default 1;
YUV+RGB format;
Tile/Rotation/FlipX,Y/Scaler;
Fetch up to 4 images from memory by one layer without overlap in vertical (SuperDMA1.0)</v>
      </c>
    </row>
    <row r="39" spans="1:5">
      <c r="A39" s="25"/>
      <c r="B39" s="35"/>
      <c r="C39" s="22" t="s">
        <v>68</v>
      </c>
      <c r="D39" s="34" t="str">
        <f>Configuration!D20</f>
        <v>Support</v>
      </c>
      <c r="E39" s="31"/>
    </row>
    <row r="40" spans="1:5">
      <c r="A40" s="25"/>
      <c r="B40" s="35"/>
      <c r="C40" s="22" t="s">
        <v>131</v>
      </c>
      <c r="D40" s="34" t="str">
        <f>IF(Configuration!D18="Not Used","",IF(OR(Configuration!D18="Video",Configuration!D18="Simple"),"Support","Not Support"))</f>
        <v>Support</v>
      </c>
      <c r="E40" s="22"/>
    </row>
    <row r="41" spans="1:5">
      <c r="A41" s="25"/>
      <c r="B41" s="35"/>
      <c r="C41" s="22" t="s">
        <v>132</v>
      </c>
      <c r="D41" s="34" t="str">
        <f>IF(Configuration!D18="Not Used","","Support")</f>
        <v>Support</v>
      </c>
      <c r="E41" s="22"/>
    </row>
    <row r="42" spans="1:5">
      <c r="A42" s="25"/>
      <c r="B42" s="35" t="s">
        <v>71</v>
      </c>
      <c r="C42" s="22" t="s">
        <v>121</v>
      </c>
      <c r="D42" s="34" t="str">
        <f>Configuration!D22</f>
        <v>Video</v>
      </c>
      <c r="E42" s="22"/>
    </row>
    <row r="43" spans="1:5">
      <c r="A43" s="25"/>
      <c r="B43" s="35"/>
      <c r="C43" s="22" t="s">
        <v>122</v>
      </c>
      <c r="D43" s="34" t="str">
        <f>IF(Configuration!D22="Not Used","",IF(Configuration!D22="Video","YUV+RGB format;",IF(Configuration!D22="Graphic","RGB format only;",IF(Configuration!D22="Simple","Linear YUV+RGB format;","ARGB8"))))</f>
        <v>YUV+RGB format;</v>
      </c>
      <c r="E43" s="22"/>
    </row>
    <row r="44" spans="1:5">
      <c r="A44" s="25"/>
      <c r="B44" s="35"/>
      <c r="C44" s="22" t="s">
        <v>96</v>
      </c>
      <c r="D44" s="34" t="str">
        <f>IF(Configuration!D22="Not Used","",IF(OR(Configuration!D22="Simple",Configuration!D22="Cursor"),"Linear","Tile&amp;Linear"))</f>
        <v>Tile&amp;Linear</v>
      </c>
      <c r="E44" s="22"/>
    </row>
    <row r="45" spans="1:5">
      <c r="A45" s="25"/>
      <c r="B45" s="35"/>
      <c r="C45" s="22" t="s">
        <v>110</v>
      </c>
      <c r="D45" s="34" t="str">
        <f>Configuration!D23</f>
        <v>Support</v>
      </c>
      <c r="E45" s="22"/>
    </row>
    <row r="46" spans="1:5">
      <c r="A46" s="25"/>
      <c r="B46" s="35"/>
      <c r="C46" s="22" t="s">
        <v>123</v>
      </c>
      <c r="D46" s="34" t="str">
        <f>IF(Configuration!D22="Not Used","",IF(Configuration!D22="Cursor","256x256","4096x2160"))</f>
        <v>4096x2160</v>
      </c>
      <c r="E46" s="22"/>
    </row>
    <row r="47" spans="1:5">
      <c r="A47" s="25"/>
      <c r="B47" s="35"/>
      <c r="C47" s="22" t="s">
        <v>124</v>
      </c>
      <c r="D47" s="34" t="str">
        <f>IF(Configuration!D22="Not Used","",IF(OR(Configuration!D22="Video",Configuration!D22="Graphic"),"Support","Not Support"))</f>
        <v>Support</v>
      </c>
      <c r="E47" s="22" t="s">
        <v>125</v>
      </c>
    </row>
    <row r="48" spans="1:5">
      <c r="A48" s="25"/>
      <c r="B48" s="35"/>
      <c r="C48" s="22" t="s">
        <v>126</v>
      </c>
      <c r="D48" s="34" t="str">
        <f>IF(Configuration!D22="Not Used","",IF(Configuration!D22="Cursor","Not Support","Support"))</f>
        <v>Support</v>
      </c>
      <c r="E48" s="22" t="s">
        <v>127</v>
      </c>
    </row>
    <row r="49" spans="1:5">
      <c r="A49" s="25"/>
      <c r="B49" s="35"/>
      <c r="C49" s="22" t="s">
        <v>128</v>
      </c>
      <c r="D49" s="34" t="str">
        <f>IF(Configuration!D22="Not Used","","Support")</f>
        <v>Support</v>
      </c>
      <c r="E49" s="22"/>
    </row>
    <row r="50" spans="1:5">
      <c r="A50" s="25"/>
      <c r="B50" s="35"/>
      <c r="C50" s="22" t="s">
        <v>129</v>
      </c>
      <c r="D50" s="34" t="str">
        <f>IF(Configuration!D22="Not Used","","Support")</f>
        <v>Support</v>
      </c>
      <c r="E50" s="22"/>
    </row>
    <row r="51" spans="1:5">
      <c r="A51" s="25"/>
      <c r="B51" s="35"/>
      <c r="C51" s="22" t="s">
        <v>130</v>
      </c>
      <c r="D51" s="34" t="str">
        <f>IF(Configuration!D22="Not Used","","Support")</f>
        <v>Support</v>
      </c>
      <c r="E51" s="22"/>
    </row>
    <row r="52" spans="1:5">
      <c r="A52" s="25"/>
      <c r="B52" s="35"/>
      <c r="C52" s="22" t="s">
        <v>69</v>
      </c>
      <c r="D52" s="34" t="str">
        <f>Configuration!D25</f>
        <v>Support</v>
      </c>
      <c r="E52" s="22" t="str">
        <f>IF(Configuration!D25="Support",IF(Configuration!D22="Video",Configuration!G4,""),"")</f>
        <v>Layer number configrable; Default 1;
YUV+RGB format;
Tile/Rotation/FlipX,Y/Scaler;
Fetch up to 4 images from memory by one layer without overlap in vertical (SuperDMA1.0)</v>
      </c>
    </row>
    <row r="53" spans="1:5">
      <c r="A53" s="25"/>
      <c r="B53" s="35"/>
      <c r="C53" s="22" t="s">
        <v>68</v>
      </c>
      <c r="D53" s="34" t="str">
        <f>Configuration!D24</f>
        <v>Support</v>
      </c>
      <c r="E53" s="31"/>
    </row>
    <row r="54" spans="1:5">
      <c r="A54" s="25"/>
      <c r="B54" s="35"/>
      <c r="C54" s="22" t="s">
        <v>131</v>
      </c>
      <c r="D54" s="34" t="str">
        <f>IF(Configuration!D22="Not Used","",IF(OR(Configuration!D22="Video",Configuration!D22="Simple"),"Support","Not Support"))</f>
        <v>Support</v>
      </c>
      <c r="E54" s="22"/>
    </row>
    <row r="55" spans="1:5">
      <c r="A55" s="25"/>
      <c r="B55" s="35"/>
      <c r="C55" s="22" t="s">
        <v>132</v>
      </c>
      <c r="D55" s="34" t="str">
        <f>IF(Configuration!D22="Not Used","","Support")</f>
        <v>Support</v>
      </c>
      <c r="E55" s="22"/>
    </row>
    <row r="56" spans="1:5">
      <c r="A56" s="25"/>
      <c r="B56" s="35" t="s">
        <v>72</v>
      </c>
      <c r="C56" s="22" t="s">
        <v>121</v>
      </c>
      <c r="D56" s="34" t="str">
        <f>Configuration!D26</f>
        <v>Video</v>
      </c>
      <c r="E56" s="22"/>
    </row>
    <row r="57" spans="1:5">
      <c r="A57" s="25"/>
      <c r="B57" s="35"/>
      <c r="C57" s="22" t="s">
        <v>122</v>
      </c>
      <c r="D57" s="34" t="str">
        <f>IF(Configuration!D26="Not Used","",IF(Configuration!D26="Video","YUV+RGB format;",IF(Configuration!D26="Graphic","RGB format only;",IF(Configuration!D26="Simple","Linear YUV+RGB format;","ARGB8"))))</f>
        <v>YUV+RGB format;</v>
      </c>
      <c r="E57" s="22"/>
    </row>
    <row r="58" spans="1:5">
      <c r="A58" s="25"/>
      <c r="B58" s="35"/>
      <c r="C58" s="22" t="s">
        <v>96</v>
      </c>
      <c r="D58" s="34" t="str">
        <f>IF(Configuration!D26="Not Used","",IF(OR(Configuration!D26="Simple",Configuration!D26="Cursor"),"Linear","Tile&amp;Linear"))</f>
        <v>Tile&amp;Linear</v>
      </c>
      <c r="E58" s="22"/>
    </row>
    <row r="59" spans="1:5">
      <c r="A59" s="25"/>
      <c r="B59" s="35"/>
      <c r="C59" s="22" t="s">
        <v>110</v>
      </c>
      <c r="D59" s="34" t="str">
        <f>Configuration!D27</f>
        <v>Support</v>
      </c>
      <c r="E59" s="22"/>
    </row>
    <row r="60" spans="1:5">
      <c r="A60" s="25"/>
      <c r="B60" s="35"/>
      <c r="C60" s="22" t="s">
        <v>123</v>
      </c>
      <c r="D60" s="34" t="str">
        <f>IF(Configuration!D26="Not Used","",IF(Configuration!D26="Cursor","256x256","4096x2160"))</f>
        <v>4096x2160</v>
      </c>
      <c r="E60" s="22"/>
    </row>
    <row r="61" spans="1:5">
      <c r="A61" s="25"/>
      <c r="B61" s="35"/>
      <c r="C61" s="22" t="s">
        <v>124</v>
      </c>
      <c r="D61" s="34" t="str">
        <f>IF(Configuration!D26="Not Used","",IF(OR(Configuration!D26="Video",Configuration!D26="Graphic"),"Support","Not Support"))</f>
        <v>Support</v>
      </c>
      <c r="E61" s="22" t="s">
        <v>125</v>
      </c>
    </row>
    <row r="62" spans="1:5">
      <c r="A62" s="25"/>
      <c r="B62" s="35"/>
      <c r="C62" s="22" t="s">
        <v>126</v>
      </c>
      <c r="D62" s="34" t="str">
        <f>IF(Configuration!D26="Not Used","",IF(Configuration!D26="Cursor","Not Support","Support"))</f>
        <v>Support</v>
      </c>
      <c r="E62" s="22" t="s">
        <v>127</v>
      </c>
    </row>
    <row r="63" spans="1:5">
      <c r="A63" s="25"/>
      <c r="B63" s="35"/>
      <c r="C63" s="22" t="s">
        <v>128</v>
      </c>
      <c r="D63" s="34" t="str">
        <f>IF(Configuration!D26="Not Used","","Support")</f>
        <v>Support</v>
      </c>
      <c r="E63" s="22"/>
    </row>
    <row r="64" spans="1:5">
      <c r="A64" s="25"/>
      <c r="B64" s="35"/>
      <c r="C64" s="22" t="s">
        <v>129</v>
      </c>
      <c r="D64" s="34" t="str">
        <f>IF(Configuration!D26="Not Used","","Support")</f>
        <v>Support</v>
      </c>
      <c r="E64" s="22"/>
    </row>
    <row r="65" spans="1:5">
      <c r="A65" s="25"/>
      <c r="B65" s="35"/>
      <c r="C65" s="22" t="s">
        <v>130</v>
      </c>
      <c r="D65" s="34" t="str">
        <f>IF(Configuration!D26="Not Used","","Support")</f>
        <v>Support</v>
      </c>
      <c r="E65" s="22"/>
    </row>
    <row r="66" spans="1:5">
      <c r="A66" s="25"/>
      <c r="B66" s="35"/>
      <c r="C66" s="22" t="s">
        <v>69</v>
      </c>
      <c r="D66" s="34" t="str">
        <f>Configuration!D29</f>
        <v>Support</v>
      </c>
      <c r="E66" s="22" t="str">
        <f>IF(Configuration!D29="Support",IF(Configuration!D26="Video",Configuration!G4,""),"")</f>
        <v>Layer number configrable; Default 1;
YUV+RGB format;
Tile/Rotation/FlipX,Y/Scaler;
Fetch up to 4 images from memory by one layer without overlap in vertical (SuperDMA1.0)</v>
      </c>
    </row>
    <row r="67" spans="1:5">
      <c r="A67" s="25"/>
      <c r="B67" s="35"/>
      <c r="C67" s="22" t="s">
        <v>68</v>
      </c>
      <c r="D67" s="34" t="str">
        <f>Configuration!D28</f>
        <v>Support</v>
      </c>
      <c r="E67" s="31"/>
    </row>
    <row r="68" spans="1:5">
      <c r="A68" s="25"/>
      <c r="B68" s="35"/>
      <c r="C68" s="22" t="s">
        <v>131</v>
      </c>
      <c r="D68" s="34" t="str">
        <f>IF(Configuration!D26="Not Used","",IF(OR(Configuration!D26="Video",Configuration!D26="Simple"),"Support","Not Support"))</f>
        <v>Support</v>
      </c>
      <c r="E68" s="22"/>
    </row>
    <row r="69" spans="1:5">
      <c r="A69" s="25"/>
      <c r="B69" s="35"/>
      <c r="C69" s="22" t="s">
        <v>132</v>
      </c>
      <c r="D69" s="34" t="str">
        <f>IF(Configuration!D26="Not Used","","Support")</f>
        <v>Support</v>
      </c>
      <c r="E69" s="22"/>
    </row>
    <row r="70" spans="1:5">
      <c r="A70" s="25"/>
      <c r="B70" s="35" t="s">
        <v>73</v>
      </c>
      <c r="C70" s="22" t="s">
        <v>121</v>
      </c>
      <c r="D70" s="34" t="str">
        <f>Configuration!D30</f>
        <v>Graphic</v>
      </c>
      <c r="E70" s="22"/>
    </row>
    <row r="71" spans="1:5">
      <c r="A71" s="25"/>
      <c r="B71" s="35"/>
      <c r="C71" s="22" t="s">
        <v>122</v>
      </c>
      <c r="D71" s="34" t="str">
        <f>IF(Configuration!D30="Not Used","",IF(Configuration!D30="Video","YUV+RGB format;",IF(Configuration!D30="Graphic","RGB format only;",IF(Configuration!D30="Simple","Linear YUV+RGB format;","ARGB8"))))</f>
        <v>RGB format only;</v>
      </c>
      <c r="E71" s="22"/>
    </row>
    <row r="72" spans="1:5">
      <c r="A72" s="25"/>
      <c r="B72" s="35"/>
      <c r="C72" s="22" t="s">
        <v>96</v>
      </c>
      <c r="D72" s="34" t="str">
        <f>IF(Configuration!D30="Not Used","",IF(OR(Configuration!D30="Simple",Configuration!D30="Cursor"),"Linear","Tile&amp;Linear"))</f>
        <v>Tile&amp;Linear</v>
      </c>
      <c r="E72" s="22"/>
    </row>
    <row r="73" spans="1:5">
      <c r="A73" s="25"/>
      <c r="B73" s="35"/>
      <c r="C73" s="22" t="s">
        <v>110</v>
      </c>
      <c r="D73" s="34" t="str">
        <f>Configuration!D31</f>
        <v>Support</v>
      </c>
      <c r="E73" s="22"/>
    </row>
    <row r="74" spans="1:5">
      <c r="A74" s="25"/>
      <c r="B74" s="35"/>
      <c r="C74" s="22" t="s">
        <v>123</v>
      </c>
      <c r="D74" s="34" t="str">
        <f>IF(Configuration!D30="Not Used","",IF(Configuration!D30="Cursor","256x256","4096x2160"))</f>
        <v>4096x2160</v>
      </c>
      <c r="E74" s="22"/>
    </row>
    <row r="75" spans="1:5">
      <c r="A75" s="25"/>
      <c r="B75" s="35"/>
      <c r="C75" s="22" t="s">
        <v>124</v>
      </c>
      <c r="D75" s="34" t="str">
        <f>IF(Configuration!D30="Not Used","",IF(OR(Configuration!D30="Video"),"Support","Not Support"))</f>
        <v>Not Support</v>
      </c>
      <c r="E75" s="22" t="s">
        <v>125</v>
      </c>
    </row>
    <row r="76" spans="1:5">
      <c r="A76" s="25"/>
      <c r="B76" s="35"/>
      <c r="C76" s="22" t="s">
        <v>126</v>
      </c>
      <c r="D76" s="34" t="str">
        <f>IF(Configuration!D30="Not Used","",IF(Configuration!D30="Cursor","Not Support","Support"))</f>
        <v>Support</v>
      </c>
      <c r="E76" s="22" t="s">
        <v>127</v>
      </c>
    </row>
    <row r="77" spans="1:5">
      <c r="A77" s="25"/>
      <c r="B77" s="35"/>
      <c r="C77" s="22" t="s">
        <v>128</v>
      </c>
      <c r="D77" s="34" t="str">
        <f>IF(Configuration!D30="Not Used","","Support")</f>
        <v>Support</v>
      </c>
      <c r="E77" s="22"/>
    </row>
    <row r="78" spans="1:5">
      <c r="A78" s="25"/>
      <c r="B78" s="35"/>
      <c r="C78" s="22" t="s">
        <v>129</v>
      </c>
      <c r="D78" s="34" t="str">
        <f>IF(Configuration!D30="Not Used","","Support")</f>
        <v>Support</v>
      </c>
      <c r="E78" s="22"/>
    </row>
    <row r="79" spans="1:5">
      <c r="A79" s="25"/>
      <c r="B79" s="35"/>
      <c r="C79" s="22" t="s">
        <v>130</v>
      </c>
      <c r="D79" s="34" t="str">
        <f>IF(Configuration!D30="Not Used","","Support")</f>
        <v>Support</v>
      </c>
      <c r="E79" s="22"/>
    </row>
    <row r="80" spans="1:5">
      <c r="A80" s="25"/>
      <c r="B80" s="35"/>
      <c r="C80" s="22" t="s">
        <v>69</v>
      </c>
      <c r="D80" s="34" t="str">
        <f>Configuration!D33</f>
        <v>Not Support</v>
      </c>
      <c r="E80" s="22" t="str">
        <f>IF(Configuration!D33="Support",IF(Configuration!D30="Video",Configuration!G4,""),"")</f>
        <v/>
      </c>
    </row>
    <row r="81" spans="1:5">
      <c r="A81" s="25"/>
      <c r="B81" s="35"/>
      <c r="C81" s="22" t="s">
        <v>68</v>
      </c>
      <c r="D81" s="34" t="str">
        <f>Configuration!D32</f>
        <v>Support</v>
      </c>
      <c r="E81" s="31"/>
    </row>
    <row r="82" spans="1:5">
      <c r="A82" s="25"/>
      <c r="B82" s="35"/>
      <c r="C82" s="22" t="s">
        <v>131</v>
      </c>
      <c r="D82" s="34" t="str">
        <f>IF(Configuration!D30="Not Used","",IF(OR(Configuration!D30="Video",Configuration!D30="Simple"),"Support","Not Support"))</f>
        <v>Not Support</v>
      </c>
      <c r="E82" s="22"/>
    </row>
    <row r="83" spans="1:5">
      <c r="A83" s="25"/>
      <c r="B83" s="35"/>
      <c r="C83" s="22" t="s">
        <v>132</v>
      </c>
      <c r="D83" s="34" t="str">
        <f>IF(Configuration!D30="Not Used","","Support")</f>
        <v>Support</v>
      </c>
      <c r="E83" s="22"/>
    </row>
    <row r="84" spans="1:5">
      <c r="A84" s="25"/>
      <c r="B84" s="35" t="s">
        <v>75</v>
      </c>
      <c r="C84" s="22" t="s">
        <v>121</v>
      </c>
      <c r="D84" s="34" t="str">
        <f>Configuration!D34</f>
        <v>Graphic</v>
      </c>
      <c r="E84" s="22"/>
    </row>
    <row r="85" spans="1:5">
      <c r="A85" s="25"/>
      <c r="B85" s="35"/>
      <c r="C85" s="22" t="s">
        <v>122</v>
      </c>
      <c r="D85" s="34" t="str">
        <f>IF(Configuration!D34="Not Used","",IF(Configuration!D34="Video","YUV+RGB format;",IF(Configuration!D34="Graphic","RGB format only;",IF(Configuration!D34="Simple","Linear YUV+RGB format;","ARGB8"))))</f>
        <v>RGB format only;</v>
      </c>
      <c r="E85" s="22"/>
    </row>
    <row r="86" spans="1:5">
      <c r="A86" s="25"/>
      <c r="B86" s="35"/>
      <c r="C86" s="22" t="s">
        <v>96</v>
      </c>
      <c r="D86" s="34" t="str">
        <f>IF(Configuration!D34="Not Used","",IF(OR(Configuration!D34="Simple",Configuration!D34="Cursor"),"Linear","Tile&amp;Linear"))</f>
        <v>Tile&amp;Linear</v>
      </c>
      <c r="E86" s="22"/>
    </row>
    <row r="87" spans="1:5">
      <c r="A87" s="25"/>
      <c r="B87" s="35"/>
      <c r="C87" s="22" t="s">
        <v>110</v>
      </c>
      <c r="D87" s="34" t="str">
        <f>Configuration!D35</f>
        <v>Support</v>
      </c>
      <c r="E87" s="22"/>
    </row>
    <row r="88" spans="1:5">
      <c r="A88" s="25"/>
      <c r="B88" s="35"/>
      <c r="C88" s="22" t="s">
        <v>123</v>
      </c>
      <c r="D88" s="34" t="str">
        <f>IF(Configuration!D34="Not Used","",IF(Configuration!D34="Cursor","256x256","4096x2160"))</f>
        <v>4096x2160</v>
      </c>
      <c r="E88" s="22"/>
    </row>
    <row r="89" spans="1:5">
      <c r="A89" s="25"/>
      <c r="B89" s="35"/>
      <c r="C89" s="22" t="s">
        <v>124</v>
      </c>
      <c r="D89" s="34" t="str">
        <f>IF(Configuration!D34="Not Used","",IF(OR(Configuration!D34="Video"),"Support","Not Support"))</f>
        <v>Not Support</v>
      </c>
      <c r="E89" s="22" t="s">
        <v>125</v>
      </c>
    </row>
    <row r="90" spans="1:5">
      <c r="A90" s="25"/>
      <c r="B90" s="35"/>
      <c r="C90" s="22" t="s">
        <v>126</v>
      </c>
      <c r="D90" s="34" t="str">
        <f>IF(Configuration!D34="Not Used","",IF(Configuration!D34="Cursor","Not Support","Support"))</f>
        <v>Support</v>
      </c>
      <c r="E90" s="22" t="s">
        <v>127</v>
      </c>
    </row>
    <row r="91" spans="1:5">
      <c r="A91" s="25"/>
      <c r="B91" s="35"/>
      <c r="C91" s="22" t="s">
        <v>128</v>
      </c>
      <c r="D91" s="34" t="str">
        <f>IF(Configuration!D34="Not Used","","Support")</f>
        <v>Support</v>
      </c>
      <c r="E91" s="22"/>
    </row>
    <row r="92" spans="1:5">
      <c r="A92" s="25"/>
      <c r="B92" s="35"/>
      <c r="C92" s="22" t="s">
        <v>129</v>
      </c>
      <c r="D92" s="34" t="str">
        <f>IF(Configuration!D34="Not Used","","Support")</f>
        <v>Support</v>
      </c>
      <c r="E92" s="22"/>
    </row>
    <row r="93" spans="1:5">
      <c r="A93" s="25"/>
      <c r="B93" s="35"/>
      <c r="C93" s="22" t="s">
        <v>130</v>
      </c>
      <c r="D93" s="34" t="str">
        <f>IF(Configuration!D34="Not Used","","Support")</f>
        <v>Support</v>
      </c>
      <c r="E93" s="22"/>
    </row>
    <row r="94" spans="1:5">
      <c r="A94" s="25"/>
      <c r="B94" s="35"/>
      <c r="C94" s="22" t="s">
        <v>69</v>
      </c>
      <c r="D94" s="34" t="str">
        <f>Configuration!D37</f>
        <v>Not Support</v>
      </c>
      <c r="E94" s="22" t="str">
        <f>IF(Configuration!D37="Support",IF(Configuration!D34="Video",Configuration!G4,""),"")</f>
        <v/>
      </c>
    </row>
    <row r="95" spans="1:5">
      <c r="A95" s="25"/>
      <c r="B95" s="35"/>
      <c r="C95" s="22" t="s">
        <v>68</v>
      </c>
      <c r="D95" s="34" t="str">
        <f>Configuration!D36</f>
        <v>Support</v>
      </c>
      <c r="E95" s="31"/>
    </row>
    <row r="96" spans="1:5">
      <c r="A96" s="25"/>
      <c r="B96" s="35"/>
      <c r="C96" s="22" t="s">
        <v>131</v>
      </c>
      <c r="D96" s="34" t="str">
        <f>IF(Configuration!D34="Not Used","",IF(OR(Configuration!D34="Video",Configuration!D34="Simple"),"Support","Not Support"))</f>
        <v>Not Support</v>
      </c>
      <c r="E96" s="22"/>
    </row>
    <row r="97" spans="1:5">
      <c r="A97" s="25"/>
      <c r="B97" s="35"/>
      <c r="C97" s="22" t="s">
        <v>132</v>
      </c>
      <c r="D97" s="34" t="str">
        <f>IF(Configuration!D34="Not Used","","Support")</f>
        <v>Support</v>
      </c>
      <c r="E97" s="22"/>
    </row>
    <row r="98" spans="1:5">
      <c r="A98" s="25"/>
      <c r="B98" s="35" t="s">
        <v>76</v>
      </c>
      <c r="C98" s="22" t="s">
        <v>121</v>
      </c>
      <c r="D98" s="34" t="str">
        <f>Configuration!D38</f>
        <v>Graphic</v>
      </c>
      <c r="E98" s="22"/>
    </row>
    <row r="99" spans="1:5">
      <c r="A99" s="25"/>
      <c r="B99" s="35"/>
      <c r="C99" s="22" t="s">
        <v>122</v>
      </c>
      <c r="D99" s="34" t="str">
        <f>IF(Configuration!D38="Not Used","",IF(Configuration!D38="Video","YUV+RGB format;",IF(Configuration!D38="Graphic","RGB format only;",IF(Configuration!D38="Simple","Linear YUV+RGB format;","ARGB8"))))</f>
        <v>RGB format only;</v>
      </c>
      <c r="E99" s="22"/>
    </row>
    <row r="100" spans="1:5">
      <c r="A100" s="25"/>
      <c r="B100" s="35"/>
      <c r="C100" s="22" t="s">
        <v>96</v>
      </c>
      <c r="D100" s="34" t="str">
        <f>IF(Configuration!D38="Not Used","",IF(OR(Configuration!D38="Simple",Configuration!D38="Cursor"),"Linear","Tile&amp;Linear"))</f>
        <v>Tile&amp;Linear</v>
      </c>
      <c r="E100" s="22"/>
    </row>
    <row r="101" spans="1:5">
      <c r="A101" s="25"/>
      <c r="B101" s="35"/>
      <c r="C101" s="22" t="s">
        <v>110</v>
      </c>
      <c r="D101" s="34" t="str">
        <f>Configuration!D39</f>
        <v>Support</v>
      </c>
      <c r="E101" s="22"/>
    </row>
    <row r="102" spans="1:5">
      <c r="A102" s="25"/>
      <c r="B102" s="35"/>
      <c r="C102" s="22" t="s">
        <v>123</v>
      </c>
      <c r="D102" s="34" t="str">
        <f>IF(Configuration!D38="Not Used","",IF(Configuration!D38="Cursor","256x256","4096x2160"))</f>
        <v>4096x2160</v>
      </c>
      <c r="E102" s="22"/>
    </row>
    <row r="103" spans="1:5">
      <c r="A103" s="25"/>
      <c r="B103" s="35"/>
      <c r="C103" s="22" t="s">
        <v>124</v>
      </c>
      <c r="D103" s="34" t="str">
        <f>IF(Configuration!D38="Not Used","",IF(OR(Configuration!D38="Video"),"Support","Not Support"))</f>
        <v>Not Support</v>
      </c>
      <c r="E103" s="22" t="s">
        <v>125</v>
      </c>
    </row>
    <row r="104" spans="1:5">
      <c r="A104" s="25"/>
      <c r="B104" s="35"/>
      <c r="C104" s="22" t="s">
        <v>126</v>
      </c>
      <c r="D104" s="34" t="str">
        <f>IF(Configuration!D38="Not Used","",IF(Configuration!D38="Cursor","Not Support","Support"))</f>
        <v>Support</v>
      </c>
      <c r="E104" s="22" t="s">
        <v>127</v>
      </c>
    </row>
    <row r="105" spans="1:5">
      <c r="A105" s="25"/>
      <c r="B105" s="35"/>
      <c r="C105" s="22" t="s">
        <v>128</v>
      </c>
      <c r="D105" s="34" t="str">
        <f>IF(Configuration!D38="Not Used","","Support")</f>
        <v>Support</v>
      </c>
      <c r="E105" s="22"/>
    </row>
    <row r="106" spans="1:5">
      <c r="A106" s="25"/>
      <c r="B106" s="35"/>
      <c r="C106" s="22" t="s">
        <v>129</v>
      </c>
      <c r="D106" s="34" t="str">
        <f>IF(Configuration!D38="Not Used","","Support")</f>
        <v>Support</v>
      </c>
      <c r="E106" s="22"/>
    </row>
    <row r="107" spans="1:5">
      <c r="A107" s="25"/>
      <c r="B107" s="35"/>
      <c r="C107" s="22" t="s">
        <v>130</v>
      </c>
      <c r="D107" s="34" t="str">
        <f>IF(Configuration!D38="Not Used","","Support")</f>
        <v>Support</v>
      </c>
      <c r="E107" s="22"/>
    </row>
    <row r="108" spans="1:5">
      <c r="A108" s="25"/>
      <c r="B108" s="35"/>
      <c r="C108" s="22" t="s">
        <v>69</v>
      </c>
      <c r="D108" s="34" t="str">
        <f>Configuration!D41</f>
        <v>Not Support</v>
      </c>
      <c r="E108" s="22" t="str">
        <f>IF(Configuration!D41="Support",IF(Configuration!D38="Video",Configuration!G4,""),"")</f>
        <v/>
      </c>
    </row>
    <row r="109" spans="1:5">
      <c r="A109" s="25"/>
      <c r="B109" s="35"/>
      <c r="C109" s="22" t="s">
        <v>68</v>
      </c>
      <c r="D109" s="34" t="str">
        <f>Configuration!D40</f>
        <v>Support</v>
      </c>
      <c r="E109" s="31"/>
    </row>
    <row r="110" spans="1:5">
      <c r="A110" s="25"/>
      <c r="B110" s="35"/>
      <c r="C110" s="22" t="s">
        <v>131</v>
      </c>
      <c r="D110" s="34" t="str">
        <f>IF(Configuration!D38="Not Used","",IF(OR(Configuration!D38="Video",Configuration!D38="Simple"),"Support","Not Support"))</f>
        <v>Not Support</v>
      </c>
      <c r="E110" s="22"/>
    </row>
    <row r="111" spans="1:5">
      <c r="A111" s="25"/>
      <c r="B111" s="35"/>
      <c r="C111" s="22" t="s">
        <v>132</v>
      </c>
      <c r="D111" s="34" t="str">
        <f>IF(Configuration!D38="Not Used","","Support")</f>
        <v>Support</v>
      </c>
      <c r="E111" s="22"/>
    </row>
    <row r="112" spans="1:5">
      <c r="A112" s="25"/>
      <c r="B112" s="35" t="s">
        <v>77</v>
      </c>
      <c r="C112" s="22" t="s">
        <v>121</v>
      </c>
      <c r="D112" s="34" t="str">
        <f>Configuration!D42</f>
        <v>Graphic</v>
      </c>
      <c r="E112" s="22"/>
    </row>
    <row r="113" spans="1:5">
      <c r="A113" s="25"/>
      <c r="B113" s="35"/>
      <c r="C113" s="22" t="s">
        <v>122</v>
      </c>
      <c r="D113" s="34" t="str">
        <f>IF(Configuration!D42="Not Used","",IF(Configuration!D42="Video","YUV+RGB format;",IF(Configuration!D42="Graphic","RGB format only;",IF(Configuration!D42="Simple","Linear YUV+RGB format;","ARGB8"))))</f>
        <v>RGB format only;</v>
      </c>
      <c r="E113" s="22"/>
    </row>
    <row r="114" spans="1:5">
      <c r="A114" s="25"/>
      <c r="B114" s="35"/>
      <c r="C114" s="22" t="s">
        <v>96</v>
      </c>
      <c r="D114" s="34" t="str">
        <f>IF(Configuration!D42="Not Used","",IF(OR(Configuration!D42="Simple",Configuration!D42="Cursor"),"Linear","Tile&amp;Linear"))</f>
        <v>Tile&amp;Linear</v>
      </c>
      <c r="E114" s="22"/>
    </row>
    <row r="115" spans="1:5">
      <c r="A115" s="25"/>
      <c r="B115" s="35"/>
      <c r="C115" s="22" t="s">
        <v>110</v>
      </c>
      <c r="D115" s="34" t="str">
        <f>Configuration!D43</f>
        <v>Support</v>
      </c>
      <c r="E115" s="22"/>
    </row>
    <row r="116" spans="1:5">
      <c r="A116" s="25"/>
      <c r="B116" s="35"/>
      <c r="C116" s="22" t="s">
        <v>123</v>
      </c>
      <c r="D116" s="34" t="str">
        <f>IF(Configuration!D42="Not Used","",IF(Configuration!D42="Cursor","256x256","4096x2160"))</f>
        <v>4096x2160</v>
      </c>
      <c r="E116" s="22"/>
    </row>
    <row r="117" spans="1:5">
      <c r="A117" s="25"/>
      <c r="B117" s="35"/>
      <c r="C117" s="22" t="s">
        <v>124</v>
      </c>
      <c r="D117" s="34" t="str">
        <f>IF(Configuration!D42="Not Used","",IF(OR(Configuration!D42="Video"),"Support","Not Support"))</f>
        <v>Not Support</v>
      </c>
      <c r="E117" s="22" t="s">
        <v>125</v>
      </c>
    </row>
    <row r="118" spans="1:5">
      <c r="A118" s="25"/>
      <c r="B118" s="35"/>
      <c r="C118" s="22" t="s">
        <v>126</v>
      </c>
      <c r="D118" s="34" t="str">
        <f>IF(Configuration!D42="Not Used","",IF(Configuration!D42="Cursor","Not Support","Support"))</f>
        <v>Support</v>
      </c>
      <c r="E118" s="22" t="s">
        <v>127</v>
      </c>
    </row>
    <row r="119" spans="1:5">
      <c r="A119" s="25"/>
      <c r="B119" s="35"/>
      <c r="C119" s="22" t="s">
        <v>128</v>
      </c>
      <c r="D119" s="34" t="str">
        <f>IF(Configuration!D42="Not Used","","Support")</f>
        <v>Support</v>
      </c>
      <c r="E119" s="22"/>
    </row>
    <row r="120" spans="1:5">
      <c r="A120" s="25"/>
      <c r="B120" s="35"/>
      <c r="C120" s="22" t="s">
        <v>129</v>
      </c>
      <c r="D120" s="34" t="str">
        <f>IF(Configuration!D42="Not Used","","Support")</f>
        <v>Support</v>
      </c>
      <c r="E120" s="22"/>
    </row>
    <row r="121" spans="1:5">
      <c r="A121" s="25"/>
      <c r="B121" s="35"/>
      <c r="C121" s="22" t="s">
        <v>130</v>
      </c>
      <c r="D121" s="34" t="str">
        <f>IF(Configuration!D42="Not Used","","Support")</f>
        <v>Support</v>
      </c>
      <c r="E121" s="22"/>
    </row>
    <row r="122" spans="1:5">
      <c r="A122" s="25"/>
      <c r="B122" s="35"/>
      <c r="C122" s="22" t="s">
        <v>69</v>
      </c>
      <c r="D122" s="34" t="str">
        <f>Configuration!D45</f>
        <v>Not Support</v>
      </c>
      <c r="E122" s="22" t="str">
        <f>IF(Configuration!D45="Support",IF(Configuration!D42="Video",Configuration!G4,""),"")</f>
        <v/>
      </c>
    </row>
    <row r="123" spans="1:5">
      <c r="A123" s="25"/>
      <c r="B123" s="35"/>
      <c r="C123" s="22" t="s">
        <v>68</v>
      </c>
      <c r="D123" s="34" t="str">
        <f>Configuration!D44</f>
        <v>Support</v>
      </c>
      <c r="E123" s="31"/>
    </row>
    <row r="124" spans="1:5">
      <c r="A124" s="25"/>
      <c r="B124" s="35"/>
      <c r="C124" s="22" t="s">
        <v>131</v>
      </c>
      <c r="D124" s="34" t="str">
        <f>IF(Configuration!D42="Not Used","",IF(OR(Configuration!D42="Video",Configuration!D42="Simple"),"Support","Not Support"))</f>
        <v>Not Support</v>
      </c>
      <c r="E124" s="22"/>
    </row>
    <row r="125" spans="1:5">
      <c r="A125" s="25"/>
      <c r="B125" s="35"/>
      <c r="C125" s="22" t="s">
        <v>132</v>
      </c>
      <c r="D125" s="34" t="str">
        <f>IF(Configuration!D42="Not Used","","Support")</f>
        <v>Support</v>
      </c>
      <c r="E125" s="22"/>
    </row>
    <row r="126" spans="1:5">
      <c r="A126" s="25"/>
      <c r="B126" s="35" t="s">
        <v>78</v>
      </c>
      <c r="C126" s="22" t="s">
        <v>121</v>
      </c>
      <c r="D126" s="34" t="str">
        <f>Configuration!D46</f>
        <v>Not Used</v>
      </c>
      <c r="E126" s="22"/>
    </row>
    <row r="127" spans="1:5">
      <c r="A127" s="25"/>
      <c r="B127" s="35"/>
      <c r="C127" s="22" t="s">
        <v>122</v>
      </c>
      <c r="D127" s="34" t="str">
        <f>IF(Configuration!D46="Not Used","",IF(Configuration!D46="Video","YUV+RGB format;",IF(Configuration!D46="Graphic","RGB format only;",IF(Configuration!D46="Simple","Linear YUV+RGB format;","ARGB8"))))</f>
        <v/>
      </c>
      <c r="E127" s="22"/>
    </row>
    <row r="128" spans="1:5">
      <c r="A128" s="25"/>
      <c r="B128" s="35"/>
      <c r="C128" s="22" t="s">
        <v>96</v>
      </c>
      <c r="D128" s="34" t="str">
        <f>IF(Configuration!D46="Not Used","",IF(OR(Configuration!D46="Simple",Configuration!D46="Cursor"),"Linear","Tile&amp;Linear"))</f>
        <v/>
      </c>
      <c r="E128" s="22"/>
    </row>
    <row r="129" spans="1:5">
      <c r="A129" s="25"/>
      <c r="B129" s="35"/>
      <c r="C129" s="22" t="s">
        <v>110</v>
      </c>
      <c r="D129" s="34" t="str">
        <f>Configuration!D47</f>
        <v>Not Support</v>
      </c>
      <c r="E129" s="22"/>
    </row>
    <row r="130" spans="1:5">
      <c r="A130" s="25"/>
      <c r="B130" s="35"/>
      <c r="C130" s="22" t="s">
        <v>123</v>
      </c>
      <c r="D130" s="34" t="str">
        <f>IF(Configuration!D46="Not Used","",IF(Configuration!D46="Cursor","256x256","4096x2160"))</f>
        <v/>
      </c>
      <c r="E130" s="22"/>
    </row>
    <row r="131" spans="1:5">
      <c r="A131" s="25"/>
      <c r="B131" s="35"/>
      <c r="C131" s="22" t="s">
        <v>124</v>
      </c>
      <c r="D131" s="34" t="str">
        <f>IF(Configuration!D46="Not Used","",IF(OR(Configuration!D46="Video",Configuration!D46="Graphic"),"Support","Not Support"))</f>
        <v/>
      </c>
      <c r="E131" s="22" t="s">
        <v>125</v>
      </c>
    </row>
    <row r="132" spans="1:5">
      <c r="A132" s="25"/>
      <c r="B132" s="35"/>
      <c r="C132" s="22" t="s">
        <v>126</v>
      </c>
      <c r="D132" s="34" t="str">
        <f>IF(Configuration!D46="Not Used","",IF(Configuration!D46="Cursor","Not Support","Support"))</f>
        <v/>
      </c>
      <c r="E132" s="22" t="s">
        <v>127</v>
      </c>
    </row>
    <row r="133" spans="1:5">
      <c r="A133" s="25"/>
      <c r="B133" s="35"/>
      <c r="C133" s="22" t="s">
        <v>128</v>
      </c>
      <c r="D133" s="34" t="str">
        <f>IF(Configuration!D46="Not Used","","Support")</f>
        <v/>
      </c>
      <c r="E133" s="22"/>
    </row>
    <row r="134" spans="1:5">
      <c r="A134" s="25"/>
      <c r="B134" s="35"/>
      <c r="C134" s="22" t="s">
        <v>129</v>
      </c>
      <c r="D134" s="34" t="str">
        <f>IF(Configuration!D46="Not Used","","Support")</f>
        <v/>
      </c>
      <c r="E134" s="22"/>
    </row>
    <row r="135" spans="1:5">
      <c r="A135" s="25"/>
      <c r="B135" s="35"/>
      <c r="C135" s="22" t="s">
        <v>130</v>
      </c>
      <c r="D135" s="34" t="str">
        <f>IF(Configuration!D46="Not Used","","Support")</f>
        <v/>
      </c>
      <c r="E135" s="22"/>
    </row>
    <row r="136" spans="1:5">
      <c r="A136" s="25"/>
      <c r="B136" s="35"/>
      <c r="C136" s="22" t="s">
        <v>69</v>
      </c>
      <c r="D136" s="34" t="str">
        <f>Configuration!D49</f>
        <v>Not Support</v>
      </c>
      <c r="E136" s="22" t="str">
        <f>IF(Configuration!D49="Support",IF(Configuration!D46="Video",Configuration!G4,""),"")</f>
        <v/>
      </c>
    </row>
    <row r="137" spans="1:5">
      <c r="A137" s="25"/>
      <c r="B137" s="35"/>
      <c r="C137" s="22" t="s">
        <v>68</v>
      </c>
      <c r="D137" s="34" t="str">
        <f>Configuration!D48</f>
        <v>Not Support</v>
      </c>
      <c r="E137" s="31"/>
    </row>
    <row r="138" spans="1:5">
      <c r="A138" s="25"/>
      <c r="B138" s="35"/>
      <c r="C138" s="22" t="s">
        <v>131</v>
      </c>
      <c r="D138" s="34" t="str">
        <f>IF(Configuration!D46="Not Used","",IF(OR(Configuration!D46="Video",Configuration!D46="Simple"),"Support","Not Support"))</f>
        <v/>
      </c>
      <c r="E138" s="22"/>
    </row>
    <row r="139" spans="1:5">
      <c r="A139" s="25"/>
      <c r="B139" s="35"/>
      <c r="C139" s="22" t="s">
        <v>132</v>
      </c>
      <c r="D139" s="34" t="str">
        <f>IF(Configuration!D46="Not Used","","Support")</f>
        <v/>
      </c>
      <c r="E139" s="22"/>
    </row>
    <row r="140" spans="1:5">
      <c r="A140" s="25"/>
      <c r="B140" s="35" t="s">
        <v>79</v>
      </c>
      <c r="C140" s="22" t="s">
        <v>121</v>
      </c>
      <c r="D140" s="34" t="str">
        <f>Configuration!D50</f>
        <v>Not Used</v>
      </c>
      <c r="E140" s="22"/>
    </row>
    <row r="141" spans="1:5">
      <c r="A141" s="25"/>
      <c r="B141" s="35"/>
      <c r="C141" s="22" t="s">
        <v>122</v>
      </c>
      <c r="D141" s="34" t="str">
        <f>IF(Configuration!D50="Not Used","",IF(Configuration!D50="Video","YUV+RGB format;",IF(Configuration!D50="Graphic","RGB format only;",IF(Configuration!D50="Simple","Linear YUV+RGB format;","ARGB8"))))</f>
        <v/>
      </c>
      <c r="E141" s="22"/>
    </row>
    <row r="142" spans="1:5">
      <c r="A142" s="25"/>
      <c r="B142" s="35"/>
      <c r="C142" s="22" t="s">
        <v>96</v>
      </c>
      <c r="D142" s="34" t="str">
        <f>IF(Configuration!D50="Not Used","",IF(OR(Configuration!D50="Simple",Configuration!D50="Cursor"),"Linear","Tile&amp;Linear"))</f>
        <v/>
      </c>
      <c r="E142" s="22"/>
    </row>
    <row r="143" spans="1:5">
      <c r="A143" s="25"/>
      <c r="B143" s="35"/>
      <c r="C143" s="22" t="s">
        <v>110</v>
      </c>
      <c r="D143" s="34" t="str">
        <f>Configuration!D51</f>
        <v>Not Support</v>
      </c>
      <c r="E143" s="22"/>
    </row>
    <row r="144" spans="1:5">
      <c r="A144" s="25"/>
      <c r="B144" s="35"/>
      <c r="C144" s="22" t="s">
        <v>123</v>
      </c>
      <c r="D144" s="34" t="str">
        <f>IF(Configuration!D50="Not Used","",IF(Configuration!D50="Cursor","256x256","4096x2160"))</f>
        <v/>
      </c>
      <c r="E144" s="22"/>
    </row>
    <row r="145" spans="1:5">
      <c r="A145" s="25"/>
      <c r="B145" s="35"/>
      <c r="C145" s="22" t="s">
        <v>124</v>
      </c>
      <c r="D145" s="34" t="str">
        <f>IF(Configuration!D50="Not Used","",IF(OR(Configuration!D50="Video",Configuration!D50="Graphic"),"Support","Not Support"))</f>
        <v/>
      </c>
      <c r="E145" s="22" t="s">
        <v>125</v>
      </c>
    </row>
    <row r="146" spans="1:5">
      <c r="A146" s="25"/>
      <c r="B146" s="35"/>
      <c r="C146" s="22" t="s">
        <v>126</v>
      </c>
      <c r="D146" s="34" t="str">
        <f>IF(Configuration!D50="Not Used","",IF(Configuration!D50="Cursor","Not Support","Support"))</f>
        <v/>
      </c>
      <c r="E146" s="22" t="s">
        <v>127</v>
      </c>
    </row>
    <row r="147" spans="1:5">
      <c r="A147" s="25"/>
      <c r="B147" s="35"/>
      <c r="C147" s="22" t="s">
        <v>128</v>
      </c>
      <c r="D147" s="34" t="str">
        <f>IF(Configuration!D50="Not Used","","Support")</f>
        <v/>
      </c>
      <c r="E147" s="22"/>
    </row>
    <row r="148" spans="1:5">
      <c r="A148" s="25"/>
      <c r="B148" s="35"/>
      <c r="C148" s="22" t="s">
        <v>129</v>
      </c>
      <c r="D148" s="34" t="str">
        <f>IF(Configuration!D50="Not Used","","Support")</f>
        <v/>
      </c>
      <c r="E148" s="22"/>
    </row>
    <row r="149" spans="1:5">
      <c r="A149" s="25"/>
      <c r="B149" s="35"/>
      <c r="C149" s="22" t="s">
        <v>130</v>
      </c>
      <c r="D149" s="34" t="str">
        <f>IF(Configuration!D50="Not Used","","Support")</f>
        <v/>
      </c>
      <c r="E149" s="22"/>
    </row>
    <row r="150" spans="1:5">
      <c r="A150" s="25"/>
      <c r="B150" s="35"/>
      <c r="C150" s="22" t="s">
        <v>69</v>
      </c>
      <c r="D150" s="34" t="str">
        <f>Configuration!D53</f>
        <v>Not Support</v>
      </c>
      <c r="E150" s="22" t="str">
        <f>IF(Configuration!D53="Support",IF(Configuration!D50="Video",Configuration!G4,""),"")</f>
        <v/>
      </c>
    </row>
    <row r="151" spans="1:5">
      <c r="A151" s="25"/>
      <c r="B151" s="35"/>
      <c r="C151" s="22" t="s">
        <v>68</v>
      </c>
      <c r="D151" s="34" t="str">
        <f>Configuration!D52</f>
        <v>Not Support</v>
      </c>
      <c r="E151" s="31"/>
    </row>
    <row r="152" spans="1:5">
      <c r="A152" s="25"/>
      <c r="B152" s="35"/>
      <c r="C152" s="22" t="s">
        <v>131</v>
      </c>
      <c r="D152" s="34" t="str">
        <f>IF(Configuration!D50="Not Used","",IF(OR(Configuration!D50="Video",Configuration!D50="Simple"),"Support","Not Support"))</f>
        <v/>
      </c>
      <c r="E152" s="22"/>
    </row>
    <row r="153" spans="1:5">
      <c r="A153" s="25"/>
      <c r="B153" s="35"/>
      <c r="C153" s="22" t="s">
        <v>132</v>
      </c>
      <c r="D153" s="34" t="str">
        <f>IF(Configuration!D50="Not Used","","Support")</f>
        <v/>
      </c>
      <c r="E153" s="22"/>
    </row>
    <row r="154" spans="1:5">
      <c r="A154" s="25"/>
      <c r="B154" s="35" t="s">
        <v>80</v>
      </c>
      <c r="C154" s="22" t="s">
        <v>121</v>
      </c>
      <c r="D154" s="34" t="str">
        <f>Configuration!D54</f>
        <v>Not Used</v>
      </c>
      <c r="E154" s="22"/>
    </row>
    <row r="155" spans="1:5">
      <c r="A155" s="25"/>
      <c r="B155" s="35"/>
      <c r="C155" s="22" t="s">
        <v>122</v>
      </c>
      <c r="D155" s="34" t="str">
        <f>IF(Configuration!D54="Not Used","",IF(Configuration!D54="Video","YUV+RGB format;",IF(Configuration!D54="Graphic","RGB format only;",IF(Configuration!D54="Simple","Linear YUV+RGB format;","ARGB8"))))</f>
        <v/>
      </c>
      <c r="E155" s="22"/>
    </row>
    <row r="156" spans="1:5">
      <c r="A156" s="25"/>
      <c r="B156" s="35"/>
      <c r="C156" s="22" t="s">
        <v>96</v>
      </c>
      <c r="D156" s="34" t="str">
        <f>IF(Configuration!D54="Not Used","",IF(OR(Configuration!D54="Simple",Configuration!D54="Cursor"),"Linear","Tile&amp;Linear"))</f>
        <v/>
      </c>
      <c r="E156" s="22"/>
    </row>
    <row r="157" spans="1:5">
      <c r="A157" s="25"/>
      <c r="B157" s="35"/>
      <c r="C157" s="22" t="s">
        <v>110</v>
      </c>
      <c r="D157" s="34" t="str">
        <f>Configuration!D55</f>
        <v>Not Support</v>
      </c>
      <c r="E157" s="22"/>
    </row>
    <row r="158" spans="1:5">
      <c r="A158" s="25"/>
      <c r="B158" s="35"/>
      <c r="C158" s="22" t="s">
        <v>123</v>
      </c>
      <c r="D158" s="34" t="str">
        <f>IF(Configuration!D54="Not Used","",IF(Configuration!D54="Cursor","256x256","4096x2160"))</f>
        <v/>
      </c>
      <c r="E158" s="22"/>
    </row>
    <row r="159" spans="1:5">
      <c r="A159" s="25"/>
      <c r="B159" s="35"/>
      <c r="C159" s="22" t="s">
        <v>124</v>
      </c>
      <c r="D159" s="34" t="str">
        <f>IF(Configuration!D54="Not Used","",IF(OR(Configuration!D54="Video",Configuration!D54="Graphic"),"Support","Not Support"))</f>
        <v/>
      </c>
      <c r="E159" s="22" t="s">
        <v>125</v>
      </c>
    </row>
    <row r="160" spans="1:5">
      <c r="A160" s="25"/>
      <c r="B160" s="35"/>
      <c r="C160" s="22" t="s">
        <v>126</v>
      </c>
      <c r="D160" s="34" t="str">
        <f>IF(Configuration!D54="Not Used","",IF(Configuration!D54="Cursor","Not Support","Support"))</f>
        <v/>
      </c>
      <c r="E160" s="22" t="s">
        <v>127</v>
      </c>
    </row>
    <row r="161" spans="1:5">
      <c r="A161" s="25"/>
      <c r="B161" s="35"/>
      <c r="C161" s="22" t="s">
        <v>128</v>
      </c>
      <c r="D161" s="34" t="str">
        <f>IF(Configuration!D54="Not Used","","Support")</f>
        <v/>
      </c>
      <c r="E161" s="22"/>
    </row>
    <row r="162" spans="1:5">
      <c r="A162" s="25"/>
      <c r="B162" s="35"/>
      <c r="C162" s="22" t="s">
        <v>129</v>
      </c>
      <c r="D162" s="34" t="str">
        <f>IF(Configuration!D54="Not Used","","Support")</f>
        <v/>
      </c>
      <c r="E162" s="22"/>
    </row>
    <row r="163" spans="1:5">
      <c r="A163" s="25"/>
      <c r="B163" s="35"/>
      <c r="C163" s="22" t="s">
        <v>130</v>
      </c>
      <c r="D163" s="34" t="str">
        <f>IF(Configuration!D54="Not Used","","Support")</f>
        <v/>
      </c>
      <c r="E163" s="22"/>
    </row>
    <row r="164" spans="1:5">
      <c r="A164" s="25"/>
      <c r="B164" s="35"/>
      <c r="C164" s="22" t="s">
        <v>69</v>
      </c>
      <c r="D164" s="34" t="str">
        <f>Configuration!D57</f>
        <v>Not Support</v>
      </c>
      <c r="E164" s="22" t="str">
        <f>IF(Configuration!D57="Support",IF(Configuration!D54="Video",Configuration!G4,""),"")</f>
        <v/>
      </c>
    </row>
    <row r="165" spans="1:5">
      <c r="A165" s="25"/>
      <c r="B165" s="35"/>
      <c r="C165" s="22" t="s">
        <v>68</v>
      </c>
      <c r="D165" s="34" t="str">
        <f>Configuration!D56</f>
        <v>Not Support</v>
      </c>
      <c r="E165" s="31"/>
    </row>
    <row r="166" spans="1:5">
      <c r="A166" s="25"/>
      <c r="B166" s="35"/>
      <c r="C166" s="22" t="s">
        <v>131</v>
      </c>
      <c r="D166" s="34" t="str">
        <f>IF(Configuration!D54="Not Used","",IF(OR(Configuration!D54="Video",Configuration!D54="Simple"),"Support","Not Support"))</f>
        <v/>
      </c>
      <c r="E166" s="22"/>
    </row>
    <row r="167" spans="1:5">
      <c r="A167" s="25"/>
      <c r="B167" s="35"/>
      <c r="C167" s="22" t="s">
        <v>132</v>
      </c>
      <c r="D167" s="34" t="str">
        <f>IF(Configuration!D54="Not Used","","Support")</f>
        <v/>
      </c>
      <c r="E167" s="22"/>
    </row>
    <row r="168" spans="1:5">
      <c r="A168" s="25"/>
      <c r="B168" s="35" t="s">
        <v>81</v>
      </c>
      <c r="C168" s="22" t="s">
        <v>121</v>
      </c>
      <c r="D168" s="34" t="str">
        <f>Configuration!D58</f>
        <v>Not Used</v>
      </c>
      <c r="E168" s="22"/>
    </row>
    <row r="169" spans="1:5">
      <c r="A169" s="25"/>
      <c r="B169" s="35"/>
      <c r="C169" s="22" t="s">
        <v>122</v>
      </c>
      <c r="D169" s="34" t="str">
        <f>IF(Configuration!D58="Not Used","",IF(Configuration!D58="Video","YUV+RGB format;",IF(Configuration!D58="Graphic","RGB format only;",IF(Configuration!D58="Simple","Linear YUV+RGB format;","ARGB8"))))</f>
        <v/>
      </c>
      <c r="E169" s="22"/>
    </row>
    <row r="170" spans="1:5">
      <c r="A170" s="25"/>
      <c r="B170" s="35"/>
      <c r="C170" s="22" t="s">
        <v>96</v>
      </c>
      <c r="D170" s="34" t="str">
        <f>IF(Configuration!D58="Not Used","",IF(OR(Configuration!D58="Simple",Configuration!D58="Cursor"),"Linear","Tile&amp;Linear"))</f>
        <v/>
      </c>
      <c r="E170" s="22"/>
    </row>
    <row r="171" spans="1:5">
      <c r="A171" s="25"/>
      <c r="B171" s="35"/>
      <c r="C171" s="22" t="s">
        <v>110</v>
      </c>
      <c r="D171" s="34" t="str">
        <f>Configuration!D59</f>
        <v>Not Support</v>
      </c>
      <c r="E171" s="22"/>
    </row>
    <row r="172" spans="1:5">
      <c r="A172" s="25"/>
      <c r="B172" s="35"/>
      <c r="C172" s="22" t="s">
        <v>123</v>
      </c>
      <c r="D172" s="34" t="str">
        <f>IF(Configuration!D58="Not Used","",IF(Configuration!D58="Cursor","256x256","4096x2160"))</f>
        <v/>
      </c>
      <c r="E172" s="22"/>
    </row>
    <row r="173" spans="1:5">
      <c r="A173" s="25"/>
      <c r="B173" s="35"/>
      <c r="C173" s="22" t="s">
        <v>124</v>
      </c>
      <c r="D173" s="34" t="str">
        <f>IF(Configuration!D58="Not Used","",IF(OR(Configuration!D58="Video",Configuration!D58="Graphic"),"Support","Not Support"))</f>
        <v/>
      </c>
      <c r="E173" s="22" t="s">
        <v>125</v>
      </c>
    </row>
    <row r="174" spans="1:5">
      <c r="A174" s="25"/>
      <c r="B174" s="35"/>
      <c r="C174" s="22" t="s">
        <v>126</v>
      </c>
      <c r="D174" s="34" t="str">
        <f>IF(Configuration!D58="Not Used","",IF(Configuration!D58="Cursor","Not Support","Support"))</f>
        <v/>
      </c>
      <c r="E174" s="22" t="s">
        <v>127</v>
      </c>
    </row>
    <row r="175" spans="1:5">
      <c r="A175" s="25"/>
      <c r="B175" s="35"/>
      <c r="C175" s="22" t="s">
        <v>128</v>
      </c>
      <c r="D175" s="34" t="str">
        <f>IF(Configuration!D58="Not Used","","Support")</f>
        <v/>
      </c>
      <c r="E175" s="22"/>
    </row>
    <row r="176" spans="1:5">
      <c r="A176" s="25"/>
      <c r="B176" s="35"/>
      <c r="C176" s="22" t="s">
        <v>129</v>
      </c>
      <c r="D176" s="34" t="str">
        <f>IF(Configuration!D58="Not Used","","Support")</f>
        <v/>
      </c>
      <c r="E176" s="22"/>
    </row>
    <row r="177" spans="1:5">
      <c r="A177" s="25"/>
      <c r="B177" s="35"/>
      <c r="C177" s="22" t="s">
        <v>130</v>
      </c>
      <c r="D177" s="34" t="str">
        <f>IF(Configuration!D58="Not Used","","Support")</f>
        <v/>
      </c>
      <c r="E177" s="22"/>
    </row>
    <row r="178" spans="1:5">
      <c r="A178" s="25"/>
      <c r="B178" s="35"/>
      <c r="C178" s="22" t="s">
        <v>69</v>
      </c>
      <c r="D178" s="34" t="str">
        <f>Configuration!D61</f>
        <v>Not Support</v>
      </c>
      <c r="E178" s="22" t="str">
        <f>IF(Configuration!D61="Support",IF(Configuration!D58="Video",Configuration!G4,""),"")</f>
        <v/>
      </c>
    </row>
    <row r="179" spans="1:5">
      <c r="A179" s="25"/>
      <c r="B179" s="35"/>
      <c r="C179" s="22" t="s">
        <v>68</v>
      </c>
      <c r="D179" s="34" t="str">
        <f>Configuration!D60</f>
        <v>Not Support</v>
      </c>
      <c r="E179" s="31"/>
    </row>
    <row r="180" spans="1:5">
      <c r="A180" s="25"/>
      <c r="B180" s="35"/>
      <c r="C180" s="22" t="s">
        <v>131</v>
      </c>
      <c r="D180" s="34" t="str">
        <f>IF(Configuration!D58="Not Used","",IF(OR(Configuration!D58="Video",Configuration!D58="Simple"),"Support","Not Support"))</f>
        <v/>
      </c>
      <c r="E180" s="22"/>
    </row>
    <row r="181" spans="1:5">
      <c r="A181" s="25"/>
      <c r="B181" s="35"/>
      <c r="C181" s="22" t="s">
        <v>132</v>
      </c>
      <c r="D181" s="34" t="str">
        <f>IF(Configuration!D58="Not Used","","Support")</f>
        <v/>
      </c>
      <c r="E181" s="22"/>
    </row>
    <row r="182" spans="1:5">
      <c r="A182" s="36" t="s">
        <v>52</v>
      </c>
      <c r="B182" s="22" t="s">
        <v>133</v>
      </c>
      <c r="C182" s="22" t="s">
        <v>134</v>
      </c>
      <c r="D182" s="34">
        <f>SUM(Configuration!D4:D6)</f>
        <v>8</v>
      </c>
      <c r="E182" s="22"/>
    </row>
    <row r="183" spans="1:5">
      <c r="A183" s="37"/>
      <c r="B183" s="31" t="s">
        <v>135</v>
      </c>
      <c r="C183" s="22" t="s">
        <v>136</v>
      </c>
      <c r="D183" s="34" t="str">
        <f>Configuration!D65</f>
        <v>Enable</v>
      </c>
      <c r="E183" s="22" t="s">
        <v>137</v>
      </c>
    </row>
    <row r="184" spans="1:5">
      <c r="A184" s="37"/>
      <c r="B184" s="31"/>
      <c r="C184" s="22" t="s">
        <v>86</v>
      </c>
      <c r="D184" s="34" t="str">
        <f>IF(Configuration!D65="Not Used","",Configuration!D66)</f>
        <v>Support</v>
      </c>
      <c r="E184" s="22"/>
    </row>
    <row r="185" spans="1:5">
      <c r="A185" s="37"/>
      <c r="B185" s="31"/>
      <c r="C185" s="22" t="s">
        <v>87</v>
      </c>
      <c r="D185" s="34" t="str">
        <f>IF(Configuration!D65="Not Used","",Configuration!D67)</f>
        <v>Not Support</v>
      </c>
      <c r="E185" s="22"/>
    </row>
    <row r="186" spans="1:5">
      <c r="A186" s="37"/>
      <c r="B186" s="31"/>
      <c r="C186" s="22" t="s">
        <v>88</v>
      </c>
      <c r="D186" s="34" t="str">
        <f>IF(Configuration!D65="Not Used","",Configuration!D68)</f>
        <v>Not Support</v>
      </c>
      <c r="E186" s="22"/>
    </row>
    <row r="187" spans="1:5">
      <c r="A187" s="37"/>
      <c r="B187" s="31"/>
      <c r="C187" s="22" t="s">
        <v>89</v>
      </c>
      <c r="D187" s="34" t="str">
        <f>IF(Configuration!D65="Not Used","",Configuration!D69)</f>
        <v>Not Support</v>
      </c>
      <c r="E187" s="22"/>
    </row>
    <row r="188" spans="1:5">
      <c r="A188" s="37"/>
      <c r="B188" s="31"/>
      <c r="C188" s="22" t="s">
        <v>90</v>
      </c>
      <c r="D188" s="34" t="str">
        <f>IF(Configuration!D65="Not Used","",Configuration!D70)</f>
        <v>Support</v>
      </c>
      <c r="E188" s="22" t="str">
        <f>IF(Configuration!D65="Not Used","",IF(Configuration!F10&lt;&gt;"",Configuration!F10,""))</f>
        <v/>
      </c>
    </row>
    <row r="189" spans="1:5">
      <c r="A189" s="37"/>
      <c r="B189" s="31"/>
      <c r="C189" s="22" t="s">
        <v>138</v>
      </c>
      <c r="D189" s="34" t="str">
        <f>IF(Configuration!D65="Not Used","","Support")</f>
        <v>Support</v>
      </c>
      <c r="E189" s="22"/>
    </row>
    <row r="190" spans="1:5">
      <c r="A190" s="37"/>
      <c r="B190" s="31"/>
      <c r="C190" s="22" t="s">
        <v>129</v>
      </c>
      <c r="D190" s="34" t="str">
        <f>IF(Configuration!D65="Not Used","","Support")</f>
        <v>Support</v>
      </c>
      <c r="E190" s="22"/>
    </row>
    <row r="191" spans="1:5">
      <c r="A191" s="37"/>
      <c r="B191" s="31" t="s">
        <v>139</v>
      </c>
      <c r="C191" s="22" t="s">
        <v>136</v>
      </c>
      <c r="D191" s="34" t="str">
        <f>Configuration!D71</f>
        <v>Enable</v>
      </c>
      <c r="E191" s="22" t="s">
        <v>137</v>
      </c>
    </row>
    <row r="192" spans="1:5">
      <c r="A192" s="37"/>
      <c r="B192" s="31"/>
      <c r="C192" s="22" t="s">
        <v>86</v>
      </c>
      <c r="D192" s="34" t="str">
        <f>IF(Configuration!D71="Not Used","",Configuration!D72)</f>
        <v>Support</v>
      </c>
      <c r="E192" s="22"/>
    </row>
    <row r="193" spans="1:5">
      <c r="A193" s="37"/>
      <c r="B193" s="31"/>
      <c r="C193" s="22" t="s">
        <v>87</v>
      </c>
      <c r="D193" s="34" t="str">
        <f>IF(Configuration!D71="Not Used","",Configuration!D73)</f>
        <v>Not Support</v>
      </c>
      <c r="E193" s="22"/>
    </row>
    <row r="194" spans="1:5">
      <c r="A194" s="37"/>
      <c r="B194" s="31"/>
      <c r="C194" s="22" t="s">
        <v>88</v>
      </c>
      <c r="D194" s="34" t="str">
        <f>IF(Configuration!D71="Not Used","",Configuration!D74)</f>
        <v>Not Support</v>
      </c>
      <c r="E194" s="22"/>
    </row>
    <row r="195" spans="1:5">
      <c r="A195" s="37"/>
      <c r="B195" s="31"/>
      <c r="C195" s="22" t="s">
        <v>89</v>
      </c>
      <c r="D195" s="34" t="str">
        <f>IF(Configuration!D71="Not Used","",Configuration!D75)</f>
        <v>Not Support</v>
      </c>
      <c r="E195" s="22"/>
    </row>
    <row r="196" spans="1:5">
      <c r="A196" s="37"/>
      <c r="B196" s="31"/>
      <c r="C196" s="22" t="s">
        <v>90</v>
      </c>
      <c r="D196" s="34" t="str">
        <f>IF(Configuration!D71="Not Used","",Configuration!D76)</f>
        <v>Support</v>
      </c>
      <c r="E196" s="22" t="str">
        <f>IF(Configuration!D71="Not Used","",IF(Configuration!F10&lt;&gt;"",Configuration!F10,""))</f>
        <v/>
      </c>
    </row>
    <row r="197" spans="1:5">
      <c r="A197" s="37"/>
      <c r="B197" s="31"/>
      <c r="C197" s="22" t="s">
        <v>138</v>
      </c>
      <c r="D197" s="34" t="str">
        <f>IF(Configuration!D71="Not Used","","Support")</f>
        <v>Support</v>
      </c>
      <c r="E197" s="22"/>
    </row>
    <row r="198" spans="1:5">
      <c r="A198" s="37"/>
      <c r="B198" s="31"/>
      <c r="C198" s="22" t="s">
        <v>129</v>
      </c>
      <c r="D198" s="34" t="str">
        <f>IF(Configuration!D71="Not Used","","Support")</f>
        <v>Support</v>
      </c>
      <c r="E198" s="22"/>
    </row>
    <row r="199" spans="1:5">
      <c r="A199" s="37"/>
      <c r="B199" s="31" t="s">
        <v>140</v>
      </c>
      <c r="C199" s="22" t="s">
        <v>136</v>
      </c>
      <c r="D199" s="34" t="str">
        <f>Configuration!D77</f>
        <v>Enable</v>
      </c>
      <c r="E199" s="22" t="s">
        <v>137</v>
      </c>
    </row>
    <row r="200" spans="1:5">
      <c r="A200" s="37"/>
      <c r="B200" s="31"/>
      <c r="C200" s="22" t="s">
        <v>86</v>
      </c>
      <c r="D200" s="34" t="str">
        <f>IF(Configuration!D77="Not Used","",Configuration!D78)</f>
        <v>Support</v>
      </c>
      <c r="E200" s="22"/>
    </row>
    <row r="201" spans="1:5">
      <c r="A201" s="37"/>
      <c r="B201" s="31"/>
      <c r="C201" s="22" t="s">
        <v>87</v>
      </c>
      <c r="D201" s="34" t="str">
        <f>IF(Configuration!D77="Not Used","",Configuration!D79)</f>
        <v>Not Support</v>
      </c>
      <c r="E201" s="22"/>
    </row>
    <row r="202" spans="1:5">
      <c r="A202" s="37"/>
      <c r="B202" s="31"/>
      <c r="C202" s="22" t="s">
        <v>90</v>
      </c>
      <c r="D202" s="34" t="str">
        <f>IF(Configuration!D77="Not Used","",Configuration!D80)</f>
        <v>Support</v>
      </c>
      <c r="E202" s="22" t="str">
        <f>IF(Configuration!D77="Not Used","",IF(Configuration!F10&lt;&gt;"",Configuration!F10,""))</f>
        <v/>
      </c>
    </row>
    <row r="203" spans="1:5">
      <c r="A203" s="37"/>
      <c r="B203" s="31"/>
      <c r="C203" s="22" t="s">
        <v>138</v>
      </c>
      <c r="D203" s="34" t="str">
        <f>IF(Configuration!D77="Not Used","","Support")</f>
        <v>Support</v>
      </c>
      <c r="E203" s="22"/>
    </row>
    <row r="204" spans="1:5">
      <c r="A204" s="37"/>
      <c r="B204" s="31"/>
      <c r="C204" s="22" t="s">
        <v>129</v>
      </c>
      <c r="D204" s="34" t="str">
        <f>IF(Configuration!D77="Not Used","","Support")</f>
        <v>Support</v>
      </c>
      <c r="E204" s="22"/>
    </row>
    <row r="205" spans="1:5">
      <c r="A205" s="37"/>
      <c r="B205" s="31" t="s">
        <v>141</v>
      </c>
      <c r="C205" s="22" t="s">
        <v>136</v>
      </c>
      <c r="D205" s="34" t="str">
        <f>Configuration!D81</f>
        <v>Enable</v>
      </c>
      <c r="E205" s="22" t="s">
        <v>137</v>
      </c>
    </row>
    <row r="206" spans="1:5">
      <c r="A206" s="37"/>
      <c r="B206" s="31"/>
      <c r="C206" s="22" t="s">
        <v>86</v>
      </c>
      <c r="D206" s="34" t="str">
        <f>IF(Configuration!D81="Not Used","",Configuration!D82)</f>
        <v>Support</v>
      </c>
      <c r="E206" s="22"/>
    </row>
    <row r="207" spans="1:5">
      <c r="A207" s="37"/>
      <c r="B207" s="31"/>
      <c r="C207" s="22" t="s">
        <v>87</v>
      </c>
      <c r="D207" s="34" t="str">
        <f>IF(Configuration!D81="Not Used","",Configuration!D83)</f>
        <v>Not Support</v>
      </c>
      <c r="E207" s="22"/>
    </row>
    <row r="208" spans="1:5">
      <c r="A208" s="37"/>
      <c r="B208" s="31"/>
      <c r="C208" s="22" t="s">
        <v>90</v>
      </c>
      <c r="D208" s="34" t="str">
        <f>IF(Configuration!D81="Not Used","",Configuration!D84)</f>
        <v>Support</v>
      </c>
      <c r="E208" s="22" t="str">
        <f>IF(Configuration!D81="Not Used","",IF(Configuration!F10&lt;&gt;"",Configuration!F10,""))</f>
        <v/>
      </c>
    </row>
    <row r="209" spans="1:5">
      <c r="A209" s="37"/>
      <c r="B209" s="31"/>
      <c r="C209" s="22" t="s">
        <v>138</v>
      </c>
      <c r="D209" s="34" t="str">
        <f>IF(Configuration!D81="Not Used","","Support")</f>
        <v>Support</v>
      </c>
      <c r="E209" s="22"/>
    </row>
    <row r="210" spans="1:5">
      <c r="A210" s="37"/>
      <c r="B210" s="31"/>
      <c r="C210" s="22" t="s">
        <v>129</v>
      </c>
      <c r="D210" s="34" t="str">
        <f>IF(Configuration!D81="Not Used","","Support")</f>
        <v>Support</v>
      </c>
      <c r="E210" s="22"/>
    </row>
    <row r="211" spans="1:5">
      <c r="A211" s="37"/>
      <c r="B211" s="38" t="s">
        <v>142</v>
      </c>
      <c r="C211" s="22" t="s">
        <v>95</v>
      </c>
      <c r="D211" s="34">
        <f>Configuration!D85</f>
        <v>1</v>
      </c>
      <c r="E211" s="22"/>
    </row>
    <row r="212" spans="1:5">
      <c r="A212" s="37"/>
      <c r="B212" s="39"/>
      <c r="C212" s="22" t="s">
        <v>98</v>
      </c>
      <c r="D212" s="34" t="str">
        <f>IF(D211="Not Used","",Configuration!D87)</f>
        <v>On-Line&amp;Offline write back</v>
      </c>
      <c r="E212" s="40"/>
    </row>
    <row r="213" spans="1:5">
      <c r="A213" s="37"/>
      <c r="B213" s="39"/>
      <c r="C213" s="22" t="s">
        <v>96</v>
      </c>
      <c r="D213" s="34" t="str">
        <f>Configuration!D86</f>
        <v>Tile &amp; Linear</v>
      </c>
      <c r="E213" s="40"/>
    </row>
    <row r="214" spans="1:5">
      <c r="A214" s="37"/>
      <c r="B214" s="39"/>
      <c r="C214" s="22" t="s">
        <v>143</v>
      </c>
      <c r="D214" s="34" t="str">
        <f>IF($D$211="Not Used","","Support")</f>
        <v>Support</v>
      </c>
      <c r="E214" s="40"/>
    </row>
    <row r="215" spans="1:5">
      <c r="A215" s="41"/>
      <c r="B215" s="42"/>
      <c r="C215" s="22" t="s">
        <v>144</v>
      </c>
      <c r="D215" s="34" t="str">
        <f>IF($D$211="Not Used","","Support")</f>
        <v>Support</v>
      </c>
      <c r="E215" s="40"/>
    </row>
  </sheetData>
  <mergeCells count="29">
    <mergeCell ref="A1:B1"/>
    <mergeCell ref="C1:D1"/>
    <mergeCell ref="A2:C2"/>
    <mergeCell ref="A5:B5"/>
    <mergeCell ref="A8:B8"/>
    <mergeCell ref="A12:B12"/>
    <mergeCell ref="B13:C13"/>
    <mergeCell ref="A13:A181"/>
    <mergeCell ref="A182:A215"/>
    <mergeCell ref="B14:B27"/>
    <mergeCell ref="B28:B41"/>
    <mergeCell ref="B42:B55"/>
    <mergeCell ref="B56:B69"/>
    <mergeCell ref="B70:B83"/>
    <mergeCell ref="B84:B97"/>
    <mergeCell ref="B98:B111"/>
    <mergeCell ref="B112:B125"/>
    <mergeCell ref="B126:B139"/>
    <mergeCell ref="B140:B153"/>
    <mergeCell ref="B154:B167"/>
    <mergeCell ref="B168:B181"/>
    <mergeCell ref="B183:B190"/>
    <mergeCell ref="B191:B198"/>
    <mergeCell ref="B199:B204"/>
    <mergeCell ref="B205:B210"/>
    <mergeCell ref="B211:B215"/>
    <mergeCell ref="A3:B4"/>
    <mergeCell ref="A6:B7"/>
    <mergeCell ref="A9:B11"/>
  </mergeCells>
  <conditionalFormatting sqref="E25">
    <cfRule type="cellIs" dxfId="2" priority="12" operator="equal">
      <formula>"Not Used"</formula>
    </cfRule>
  </conditionalFormatting>
  <conditionalFormatting sqref="E39">
    <cfRule type="cellIs" dxfId="2" priority="11" operator="equal">
      <formula>"Not Used"</formula>
    </cfRule>
  </conditionalFormatting>
  <conditionalFormatting sqref="E53">
    <cfRule type="cellIs" dxfId="2" priority="10" operator="equal">
      <formula>"Not Used"</formula>
    </cfRule>
  </conditionalFormatting>
  <conditionalFormatting sqref="E67">
    <cfRule type="cellIs" dxfId="2" priority="9" operator="equal">
      <formula>"Not Used"</formula>
    </cfRule>
  </conditionalFormatting>
  <conditionalFormatting sqref="E81">
    <cfRule type="cellIs" dxfId="2" priority="8" operator="equal">
      <formula>"Not Used"</formula>
    </cfRule>
  </conditionalFormatting>
  <conditionalFormatting sqref="E95">
    <cfRule type="cellIs" dxfId="2" priority="7" operator="equal">
      <formula>"Not Used"</formula>
    </cfRule>
  </conditionalFormatting>
  <conditionalFormatting sqref="E109">
    <cfRule type="cellIs" dxfId="2" priority="6" operator="equal">
      <formula>"Not Used"</formula>
    </cfRule>
  </conditionalFormatting>
  <conditionalFormatting sqref="E123">
    <cfRule type="cellIs" dxfId="2" priority="5" operator="equal">
      <formula>"Not Used"</formula>
    </cfRule>
  </conditionalFormatting>
  <conditionalFormatting sqref="E137">
    <cfRule type="cellIs" dxfId="2" priority="4" operator="equal">
      <formula>"Not Used"</formula>
    </cfRule>
  </conditionalFormatting>
  <conditionalFormatting sqref="E151">
    <cfRule type="cellIs" dxfId="2" priority="3" operator="equal">
      <formula>"Not Used"</formula>
    </cfRule>
  </conditionalFormatting>
  <conditionalFormatting sqref="E165">
    <cfRule type="cellIs" dxfId="2" priority="2" operator="equal">
      <formula>"Not Used"</formula>
    </cfRule>
  </conditionalFormatting>
  <conditionalFormatting sqref="E179">
    <cfRule type="cellIs" dxfId="2" priority="1" operator="equal">
      <formula>"Not Used"</formula>
    </cfRule>
  </conditionalFormatting>
  <conditionalFormatting sqref="D$1:D$1048576">
    <cfRule type="cellIs" dxfId="3" priority="13" operator="equal">
      <formula>"Not Support"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showGridLines="0" zoomScale="160" zoomScaleNormal="160" workbookViewId="0">
      <selection activeCell="C2" sqref="C2"/>
    </sheetView>
  </sheetViews>
  <sheetFormatPr defaultColWidth="8.66666666666667" defaultRowHeight="12.75" outlineLevelRow="2" outlineLevelCol="3"/>
  <cols>
    <col min="1" max="1" width="31.4166666666667" style="13" customWidth="1"/>
    <col min="2" max="4" width="35.4166666666667" style="13" customWidth="1"/>
    <col min="5" max="16384" width="8.66666666666667" style="13"/>
  </cols>
  <sheetData>
    <row r="1" ht="17.25" customHeight="1" spans="1:4">
      <c r="A1" s="14"/>
      <c r="B1" s="15"/>
      <c r="C1" s="15"/>
      <c r="D1" s="15"/>
    </row>
    <row r="2" spans="1:4">
      <c r="A2" s="16" t="s">
        <v>145</v>
      </c>
      <c r="B2" s="16" t="s">
        <v>146</v>
      </c>
      <c r="C2" s="16" t="s">
        <v>147</v>
      </c>
      <c r="D2" s="16" t="s">
        <v>101</v>
      </c>
    </row>
    <row r="3" spans="1:4">
      <c r="A3" s="17"/>
      <c r="B3" s="17"/>
      <c r="C3" s="17"/>
      <c r="D3" s="17"/>
    </row>
  </sheetData>
  <conditionalFormatting sqref="A3:B3">
    <cfRule type="expression" dxfId="0" priority="5">
      <formula>#REF!="Not Supported"</formula>
    </cfRule>
  </conditionalFormatting>
  <conditionalFormatting sqref="A3:D3">
    <cfRule type="expression" dxfId="0" priority="2">
      <formula>#REF!="NA"</formula>
    </cfRule>
  </conditionalFormatting>
  <conditionalFormatting sqref="C2:D3">
    <cfRule type="expression" dxfId="0" priority="3">
      <formula>#REF!="Not Supported"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8"/>
  <sheetViews>
    <sheetView workbookViewId="0">
      <selection activeCell="E10" sqref="E10"/>
    </sheetView>
  </sheetViews>
  <sheetFormatPr defaultColWidth="9" defaultRowHeight="14.25" outlineLevelRow="7" outlineLevelCol="4"/>
  <cols>
    <col min="3" max="3" width="53.0833333333333" customWidth="1"/>
    <col min="4" max="4" width="50.8333333333333" customWidth="1"/>
    <col min="5" max="5" width="68" customWidth="1"/>
  </cols>
  <sheetData>
    <row r="2" ht="15"/>
    <row r="3" ht="21" spans="3:5">
      <c r="C3" s="1" t="s">
        <v>148</v>
      </c>
      <c r="D3" s="2" t="s">
        <v>149</v>
      </c>
      <c r="E3" s="3" t="s">
        <v>33</v>
      </c>
    </row>
    <row r="4" ht="147" spans="3:5">
      <c r="C4" s="4" t="s">
        <v>150</v>
      </c>
      <c r="D4" s="5"/>
      <c r="E4" s="6" t="s">
        <v>151</v>
      </c>
    </row>
    <row r="5" ht="42" spans="3:5">
      <c r="C5" s="4" t="s">
        <v>152</v>
      </c>
      <c r="D5" s="5"/>
      <c r="E5" s="7" t="s">
        <v>153</v>
      </c>
    </row>
    <row r="6" ht="210" spans="3:5">
      <c r="C6" s="4" t="s">
        <v>154</v>
      </c>
      <c r="D6" s="5" t="s">
        <v>155</v>
      </c>
      <c r="E6" s="8" t="s">
        <v>156</v>
      </c>
    </row>
    <row r="7" ht="42" spans="3:5">
      <c r="C7" s="4" t="s">
        <v>157</v>
      </c>
      <c r="D7" s="9"/>
      <c r="E7" s="8" t="s">
        <v>158</v>
      </c>
    </row>
    <row r="8" ht="21.75" spans="3:5">
      <c r="C8" s="10" t="s">
        <v>159</v>
      </c>
      <c r="D8" s="11"/>
      <c r="E8" s="12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Version</vt:lpstr>
      <vt:lpstr>UserGuide</vt:lpstr>
      <vt:lpstr>General</vt:lpstr>
      <vt:lpstr>Configuration</vt:lpstr>
      <vt:lpstr>ProductFeatureList</vt:lpstr>
      <vt:lpstr>CR</vt:lpstr>
      <vt:lpstr>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HXH</cp:lastModifiedBy>
  <cp:revision>0</cp:revision>
  <dcterms:created xsi:type="dcterms:W3CDTF">2015-06-05T18:17:00Z</dcterms:created>
  <dcterms:modified xsi:type="dcterms:W3CDTF">2026-08-11T02:30:00Z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ContentTypeId">
    <vt:lpwstr>0x01010009434913A027524CA75009E3E2690B65</vt:lpwstr>
  </property>
  <property fmtid="{D5CDD505-2E9C-101B-9397-08002B2CF9AE}" pid="4" name="ICV">
    <vt:lpwstr>D79B29227AC141FB97603E9B330861BF_13</vt:lpwstr>
  </property>
  <property fmtid="{D5CDD505-2E9C-101B-9397-08002B2CF9AE}" pid="5" name="KSOProductBuildVer">
    <vt:lpwstr>2052-12.1.0.28043</vt:lpwstr>
  </property>
</Properties>
</file>