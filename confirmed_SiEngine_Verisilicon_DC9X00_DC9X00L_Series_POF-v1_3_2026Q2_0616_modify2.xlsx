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135" windowWidth="28035" windowHeight="12120"/>
  </bookViews>
  <sheets>
    <sheet name="ProductFeatureList" sheetId="1" r:id="rId1"/>
    <sheet name="Sheet2" sheetId="2" r:id="rId2"/>
    <sheet name="Sheet3" sheetId="3" r:id="rId3"/>
  </sheets>
  <externalReferences>
    <externalReference r:id="rId4"/>
  </externalReferences>
  <calcPr calcId="125725"/>
</workbook>
</file>

<file path=xl/calcChain.xml><?xml version="1.0" encoding="utf-8"?>
<calcChain xmlns="http://schemas.openxmlformats.org/spreadsheetml/2006/main">
  <c r="D215" i="1"/>
  <c r="D214"/>
  <c r="D213"/>
  <c r="D212"/>
  <c r="D211"/>
  <c r="D210"/>
  <c r="D209"/>
  <c r="E208"/>
  <c r="D208"/>
  <c r="D207"/>
  <c r="D206"/>
  <c r="D205"/>
  <c r="D204"/>
  <c r="D203"/>
  <c r="E202"/>
  <c r="D202"/>
  <c r="D201"/>
  <c r="D200"/>
  <c r="D199"/>
  <c r="D198"/>
  <c r="D197"/>
  <c r="E196"/>
  <c r="D196"/>
  <c r="D195"/>
  <c r="D194"/>
  <c r="D193"/>
  <c r="D192"/>
  <c r="D191"/>
  <c r="D190"/>
  <c r="D189"/>
  <c r="E188"/>
  <c r="D188"/>
  <c r="D187"/>
  <c r="D186"/>
  <c r="D185"/>
  <c r="D184"/>
  <c r="D183"/>
  <c r="D182"/>
  <c r="D181"/>
  <c r="D180"/>
  <c r="D179"/>
  <c r="E178"/>
  <c r="D178"/>
  <c r="D177"/>
  <c r="D176"/>
  <c r="D175"/>
  <c r="D174"/>
  <c r="D173"/>
  <c r="D172"/>
  <c r="D171"/>
  <c r="D170"/>
  <c r="D169"/>
  <c r="D168"/>
  <c r="D167"/>
  <c r="D166"/>
  <c r="D165"/>
  <c r="E164"/>
  <c r="D164"/>
  <c r="D163"/>
  <c r="D162"/>
  <c r="D161"/>
  <c r="D160"/>
  <c r="D159"/>
  <c r="D158"/>
  <c r="D157"/>
  <c r="D156"/>
  <c r="D155"/>
  <c r="D154"/>
  <c r="D153"/>
  <c r="D152"/>
  <c r="D151"/>
  <c r="E150"/>
  <c r="D150"/>
  <c r="D149"/>
  <c r="D148"/>
  <c r="D147"/>
  <c r="D146"/>
  <c r="D145"/>
  <c r="D144"/>
  <c r="D143"/>
  <c r="D142"/>
  <c r="D141"/>
  <c r="D140"/>
  <c r="D139"/>
  <c r="D138"/>
  <c r="D137"/>
  <c r="E136"/>
  <c r="D136"/>
  <c r="D135"/>
  <c r="D134"/>
  <c r="D133"/>
  <c r="D132"/>
  <c r="D131"/>
  <c r="D130"/>
  <c r="D129"/>
  <c r="D128"/>
  <c r="D127"/>
  <c r="D126"/>
  <c r="D125"/>
  <c r="D124"/>
  <c r="D123"/>
  <c r="E122"/>
  <c r="D122"/>
  <c r="D121"/>
  <c r="D120"/>
  <c r="D119"/>
  <c r="D118"/>
  <c r="D117"/>
  <c r="D116"/>
  <c r="D115"/>
  <c r="D114"/>
  <c r="D113"/>
  <c r="D112"/>
  <c r="D111"/>
  <c r="D110"/>
  <c r="D109"/>
  <c r="E108"/>
  <c r="D108"/>
  <c r="D107"/>
  <c r="D106"/>
  <c r="D105"/>
  <c r="D104"/>
  <c r="D103"/>
  <c r="D102"/>
  <c r="D101"/>
  <c r="D100"/>
  <c r="D99"/>
  <c r="D98"/>
  <c r="D97"/>
  <c r="D96"/>
  <c r="D95"/>
  <c r="E94"/>
  <c r="D94"/>
  <c r="D93"/>
  <c r="D92"/>
  <c r="D91"/>
  <c r="D90"/>
  <c r="D89"/>
  <c r="D88"/>
  <c r="D87"/>
  <c r="D86"/>
  <c r="D85"/>
  <c r="D84"/>
  <c r="D83"/>
  <c r="D82"/>
  <c r="D81"/>
  <c r="E80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1"/>
  <c r="D10"/>
  <c r="D8"/>
  <c r="D7"/>
  <c r="D2" s="1"/>
  <c r="D6"/>
  <c r="D12" s="1"/>
  <c r="D5"/>
  <c r="D3"/>
  <c r="D4" l="1"/>
</calcChain>
</file>

<file path=xl/sharedStrings.xml><?xml version="1.0" encoding="utf-8"?>
<sst xmlns="http://schemas.openxmlformats.org/spreadsheetml/2006/main" count="275" uniqueCount="71">
  <si>
    <t>Category</t>
  </si>
  <si>
    <t>VSI Comment</t>
  </si>
  <si>
    <t>IP Version</t>
  </si>
  <si>
    <t>Max Display Resolution for Single Display</t>
  </si>
  <si>
    <t>Max Display Resolution for Multiple Display</t>
  </si>
  <si>
    <t>Multi-Display splice mode</t>
  </si>
  <si>
    <t>Pixel Thoughput</t>
  </si>
  <si>
    <t>Pixel Rate (Pixels per Cycle)</t>
  </si>
  <si>
    <t>HW Resource</t>
  </si>
  <si>
    <t>Pixel Pre-processing</t>
  </si>
  <si>
    <t>Pixel Post-processing</t>
  </si>
  <si>
    <t>Decompression</t>
  </si>
  <si>
    <t>Input frame buffer decompression</t>
  </si>
  <si>
    <t>Data BUS</t>
  </si>
  <si>
    <t>AXI4.0 address width</t>
  </si>
  <si>
    <t>48bit</t>
  </si>
  <si>
    <t>For Pixel Pre-processing
{8'b0,ARADDR[39:0]} SiEngine</t>
  </si>
  <si>
    <t>AXI4.0 read interface</t>
  </si>
  <si>
    <t>AXI4.0 write interface</t>
  </si>
  <si>
    <t>For Write Back</t>
  </si>
  <si>
    <t>Config BUS</t>
  </si>
  <si>
    <t>APB3.0 interface</t>
  </si>
  <si>
    <t>Cursor Layer Number</t>
  </si>
  <si>
    <t>Layer0</t>
  </si>
  <si>
    <t>Layer type</t>
  </si>
  <si>
    <t>Format</t>
  </si>
  <si>
    <t>Tilemode</t>
  </si>
  <si>
    <t>Max resolution</t>
  </si>
  <si>
    <t>Rotation with tile input formats</t>
  </si>
  <si>
    <t>Rotation 90°/180°/270°</t>
  </si>
  <si>
    <t>Flip</t>
  </si>
  <si>
    <t>Flip Y/Flip X/ Flip X&amp;Flip Y</t>
  </si>
  <si>
    <t>Color Key</t>
  </si>
  <si>
    <t>Crop</t>
  </si>
  <si>
    <t>Swizzle</t>
  </si>
  <si>
    <t>Scaler</t>
  </si>
  <si>
    <t>HDR</t>
  </si>
  <si>
    <t>YUV2RGB</t>
  </si>
  <si>
    <t>Solid color</t>
  </si>
  <si>
    <t>Layer1</t>
  </si>
  <si>
    <t>Layer11</t>
  </si>
  <si>
    <t>Blender</t>
  </si>
  <si>
    <t>layers Alpha blending</t>
  </si>
  <si>
    <t>PostProc0</t>
  </si>
  <si>
    <t>Enable</t>
  </si>
  <si>
    <t>DP/DSI sw programmable</t>
  </si>
  <si>
    <t>Degamma+CCM</t>
  </si>
  <si>
    <t>Post-Scaler</t>
  </si>
  <si>
    <t>LTM</t>
  </si>
  <si>
    <t>Sharpness</t>
  </si>
  <si>
    <t>3DLUT</t>
  </si>
  <si>
    <t>Gamma</t>
  </si>
  <si>
    <t>PostProc1</t>
  </si>
  <si>
    <t>PostProc2</t>
  </si>
  <si>
    <t>PostProc3</t>
  </si>
  <si>
    <t>Write back</t>
  </si>
  <si>
    <t>Pipeline num</t>
  </si>
  <si>
    <t>Scenario</t>
  </si>
  <si>
    <t>RGB2YUV</t>
  </si>
  <si>
    <t>DownSample</t>
  </si>
  <si>
    <t>Display Throughput
(Resolution@Frame Rate)</t>
    <phoneticPr fontId="2" type="noConversion"/>
  </si>
  <si>
    <t>DC9X00/DC9X00L Series Product Features</t>
    <phoneticPr fontId="2" type="noConversion"/>
  </si>
  <si>
    <t>Layer5</t>
    <phoneticPr fontId="2" type="noConversion"/>
  </si>
  <si>
    <t>Layer6</t>
    <phoneticPr fontId="2" type="noConversion"/>
  </si>
  <si>
    <t>Layer4</t>
    <phoneticPr fontId="2" type="noConversion"/>
  </si>
  <si>
    <t>Layer2</t>
    <phoneticPr fontId="2" type="noConversion"/>
  </si>
  <si>
    <t>Layer3</t>
    <phoneticPr fontId="2" type="noConversion"/>
  </si>
  <si>
    <t>Layer7</t>
    <phoneticPr fontId="2" type="noConversion"/>
  </si>
  <si>
    <t>Layer8</t>
    <phoneticPr fontId="2" type="noConversion"/>
  </si>
  <si>
    <t>Layer9</t>
    <phoneticPr fontId="2" type="noConversion"/>
  </si>
  <si>
    <t>Layer10</t>
    <phoneticPr fontId="2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</si>
</sst>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b/>
      <sz val="10"/>
      <color theme="0"/>
      <name val="Calibri"/>
      <charset val="1"/>
    </font>
    <font>
      <sz val="9"/>
      <name val="宋体"/>
      <family val="2"/>
      <charset val="134"/>
      <scheme val="minor"/>
    </font>
    <font>
      <sz val="10"/>
      <name val="Calibri"/>
      <charset val="1"/>
    </font>
    <font>
      <b/>
      <sz val="10"/>
      <name val="Calibri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0" fillId="0" borderId="2" xfId="0" applyBorder="1" applyAlignment="1"/>
    <xf numFmtId="0" fontId="3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</cellXfs>
  <cellStyles count="1">
    <cellStyle name="常规" xfId="0" builtinId="0"/>
  </cellStyles>
  <dxfs count="2">
    <dxf>
      <font>
        <color theme="0" tint="-0.14999847407452621"/>
      </font>
      <fill>
        <patternFill patternType="solid">
          <bgColor theme="0"/>
        </patternFill>
      </fill>
    </dxf>
    <dxf>
      <font>
        <color rgb="FFD9D9D9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firmed_SiEngine_Verisilicon_DC9X00_DC9X00L_Series_POF-v1_3_2026Q2_0616_modify1%20-%20&#21103;&#2641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ersion"/>
      <sheetName val="UserGuide"/>
      <sheetName val="General"/>
      <sheetName val="Configuration"/>
      <sheetName val="ProductFeatureList"/>
      <sheetName val="CR"/>
    </sheetNames>
    <sheetDataSet>
      <sheetData sheetId="0" refreshError="1"/>
      <sheetData sheetId="1" refreshError="1"/>
      <sheetData sheetId="2" refreshError="1"/>
      <sheetData sheetId="3">
        <row r="3">
          <cell r="D3">
            <v>2</v>
          </cell>
        </row>
        <row r="4">
          <cell r="D4">
            <v>4</v>
          </cell>
          <cell r="G4" t="str">
            <v>Layer number configrable; Default 1;
YUV+RGB format;
Tile/Rotation/FlipX,Y/Scaler;
Fetch up to 4 images from memory by one layer without overlap in vertical (SuperDMA1.0)</v>
          </cell>
        </row>
        <row r="5">
          <cell r="D5">
            <v>4</v>
          </cell>
        </row>
        <row r="6">
          <cell r="D6">
            <v>4</v>
          </cell>
        </row>
        <row r="7">
          <cell r="D7">
            <v>0</v>
          </cell>
        </row>
        <row r="8">
          <cell r="D8">
            <v>4</v>
          </cell>
        </row>
        <row r="9">
          <cell r="D9" t="str">
            <v>DEC400A</v>
          </cell>
        </row>
        <row r="10">
          <cell r="D10" t="str">
            <v>256bits</v>
          </cell>
        </row>
        <row r="14">
          <cell r="D14" t="str">
            <v>Video</v>
          </cell>
        </row>
        <row r="15">
          <cell r="D15" t="str">
            <v>Support</v>
          </cell>
        </row>
        <row r="16">
          <cell r="D16" t="str">
            <v>Support</v>
          </cell>
        </row>
        <row r="17">
          <cell r="D17" t="str">
            <v>Support</v>
          </cell>
        </row>
        <row r="18">
          <cell r="D18" t="str">
            <v>Video</v>
          </cell>
        </row>
        <row r="19">
          <cell r="D19" t="str">
            <v>Support</v>
          </cell>
        </row>
        <row r="20">
          <cell r="D20" t="str">
            <v>Support</v>
          </cell>
        </row>
        <row r="21">
          <cell r="D21" t="str">
            <v>Support</v>
          </cell>
        </row>
        <row r="22">
          <cell r="D22" t="str">
            <v>Video</v>
          </cell>
        </row>
        <row r="23">
          <cell r="D23" t="str">
            <v>Support</v>
          </cell>
        </row>
        <row r="24">
          <cell r="D24" t="str">
            <v>Support</v>
          </cell>
        </row>
        <row r="25">
          <cell r="D25" t="str">
            <v>Support</v>
          </cell>
        </row>
        <row r="26">
          <cell r="D26" t="str">
            <v>Video</v>
          </cell>
        </row>
        <row r="27">
          <cell r="D27" t="str">
            <v>Support</v>
          </cell>
        </row>
        <row r="28">
          <cell r="D28" t="str">
            <v>Support</v>
          </cell>
        </row>
        <row r="29">
          <cell r="D29" t="str">
            <v>Support</v>
          </cell>
        </row>
        <row r="30">
          <cell r="D30" t="str">
            <v>Graphic</v>
          </cell>
        </row>
        <row r="31">
          <cell r="D31" t="str">
            <v>Support</v>
          </cell>
        </row>
        <row r="32">
          <cell r="D32" t="str">
            <v>Not Support</v>
          </cell>
        </row>
        <row r="33">
          <cell r="D33" t="str">
            <v>Not Support</v>
          </cell>
        </row>
        <row r="34">
          <cell r="D34" t="str">
            <v>Graphic</v>
          </cell>
        </row>
        <row r="35">
          <cell r="D35" t="str">
            <v>Support</v>
          </cell>
        </row>
        <row r="36">
          <cell r="D36" t="str">
            <v>Not Support</v>
          </cell>
        </row>
        <row r="37">
          <cell r="D37" t="str">
            <v>Not Support</v>
          </cell>
        </row>
        <row r="38">
          <cell r="D38" t="str">
            <v>Graphic</v>
          </cell>
        </row>
        <row r="39">
          <cell r="D39" t="str">
            <v>Support</v>
          </cell>
        </row>
        <row r="40">
          <cell r="D40" t="str">
            <v>Not Support</v>
          </cell>
        </row>
        <row r="41">
          <cell r="D41" t="str">
            <v>Not Support</v>
          </cell>
        </row>
        <row r="42">
          <cell r="D42" t="str">
            <v>Graphic</v>
          </cell>
        </row>
        <row r="43">
          <cell r="D43" t="str">
            <v>Support</v>
          </cell>
        </row>
        <row r="44">
          <cell r="D44" t="str">
            <v>Not Support</v>
          </cell>
        </row>
        <row r="45">
          <cell r="D45" t="str">
            <v>Not Support</v>
          </cell>
        </row>
        <row r="46">
          <cell r="D46" t="str">
            <v>Simple</v>
          </cell>
        </row>
        <row r="47">
          <cell r="D47" t="str">
            <v>Not Support</v>
          </cell>
        </row>
        <row r="48">
          <cell r="D48" t="str">
            <v>Not Support</v>
          </cell>
        </row>
        <row r="49">
          <cell r="D49" t="str">
            <v>Not Support</v>
          </cell>
        </row>
        <row r="50">
          <cell r="D50" t="str">
            <v>Simple</v>
          </cell>
        </row>
        <row r="51">
          <cell r="D51" t="str">
            <v>Not Support</v>
          </cell>
        </row>
        <row r="52">
          <cell r="D52" t="str">
            <v>Not Support</v>
          </cell>
        </row>
        <row r="53">
          <cell r="D53" t="str">
            <v>Not Support</v>
          </cell>
        </row>
        <row r="54">
          <cell r="D54" t="str">
            <v>Simple</v>
          </cell>
        </row>
        <row r="55">
          <cell r="D55" t="str">
            <v>Not Support</v>
          </cell>
        </row>
        <row r="56">
          <cell r="D56" t="str">
            <v>Not Support</v>
          </cell>
        </row>
        <row r="57">
          <cell r="D57" t="str">
            <v>Not Support</v>
          </cell>
        </row>
        <row r="58">
          <cell r="D58" t="str">
            <v>Simple</v>
          </cell>
        </row>
        <row r="59">
          <cell r="D59" t="str">
            <v>Not Support</v>
          </cell>
        </row>
        <row r="60">
          <cell r="D60" t="str">
            <v>Not Support</v>
          </cell>
        </row>
        <row r="61">
          <cell r="D61" t="str">
            <v>Not Support</v>
          </cell>
        </row>
        <row r="65">
          <cell r="D65" t="str">
            <v>Enable</v>
          </cell>
        </row>
        <row r="66">
          <cell r="D66" t="str">
            <v>Support</v>
          </cell>
        </row>
        <row r="67">
          <cell r="D67" t="str">
            <v>Not Support</v>
          </cell>
        </row>
        <row r="68">
          <cell r="D68" t="str">
            <v>Support</v>
          </cell>
        </row>
        <row r="69">
          <cell r="D69" t="str">
            <v>Support</v>
          </cell>
        </row>
        <row r="70">
          <cell r="D70" t="str">
            <v>Support</v>
          </cell>
        </row>
        <row r="71">
          <cell r="D71" t="str">
            <v>Enable</v>
          </cell>
        </row>
        <row r="72">
          <cell r="D72" t="str">
            <v>Support</v>
          </cell>
        </row>
        <row r="73">
          <cell r="D73" t="str">
            <v>Not Support</v>
          </cell>
        </row>
        <row r="74">
          <cell r="D74" t="str">
            <v>Not Support</v>
          </cell>
        </row>
        <row r="75">
          <cell r="D75" t="str">
            <v>Not Support</v>
          </cell>
        </row>
        <row r="76">
          <cell r="D76" t="str">
            <v>Support</v>
          </cell>
        </row>
        <row r="77">
          <cell r="D77" t="str">
            <v>Enable</v>
          </cell>
        </row>
        <row r="78">
          <cell r="D78" t="str">
            <v>Support</v>
          </cell>
        </row>
        <row r="79">
          <cell r="D79" t="str">
            <v>Not Support</v>
          </cell>
        </row>
        <row r="80">
          <cell r="D80" t="str">
            <v>Not Support</v>
          </cell>
        </row>
        <row r="81">
          <cell r="D81" t="str">
            <v>Enable</v>
          </cell>
        </row>
        <row r="82">
          <cell r="D82" t="str">
            <v>Support</v>
          </cell>
        </row>
        <row r="83">
          <cell r="D83" t="str">
            <v>Not Support</v>
          </cell>
        </row>
        <row r="84">
          <cell r="D84" t="str">
            <v>Not Support</v>
          </cell>
        </row>
        <row r="85">
          <cell r="D85">
            <v>2</v>
          </cell>
        </row>
        <row r="86">
          <cell r="D86" t="str">
            <v>Linear only</v>
          </cell>
        </row>
        <row r="87">
          <cell r="D87" t="str">
            <v>On-Line&amp;Offline write back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216"/>
  <sheetViews>
    <sheetView tabSelected="1" topLeftCell="A10" zoomScale="130" zoomScaleNormal="130" workbookViewId="0">
      <selection activeCell="B28" sqref="B28:B41"/>
    </sheetView>
  </sheetViews>
  <sheetFormatPr defaultRowHeight="13.5"/>
  <cols>
    <col min="1" max="1" width="32.75" customWidth="1"/>
    <col min="2" max="2" width="30.125" customWidth="1"/>
    <col min="3" max="3" width="20.875" customWidth="1"/>
    <col min="4" max="4" width="17.375" customWidth="1"/>
    <col min="5" max="5" width="23.75" customWidth="1"/>
  </cols>
  <sheetData>
    <row r="1" spans="1:5">
      <c r="A1" s="1" t="s">
        <v>0</v>
      </c>
      <c r="B1" s="1"/>
      <c r="C1" s="1" t="s">
        <v>61</v>
      </c>
      <c r="D1" s="1"/>
      <c r="E1" s="2" t="s">
        <v>1</v>
      </c>
    </row>
    <row r="2" spans="1:5">
      <c r="A2" s="3" t="s">
        <v>2</v>
      </c>
      <c r="B2" s="3"/>
      <c r="C2" s="3"/>
      <c r="D2" s="4" t="str">
        <f>IF(D7=1,"DC9000","DC9"&amp;D7&amp;"00")&amp;IF([1]Configuration!D3=1,"L","")</f>
        <v>DC9400</v>
      </c>
      <c r="E2" s="5"/>
    </row>
    <row r="3" spans="1:5" ht="29.25" customHeight="1">
      <c r="A3" s="6" t="s">
        <v>60</v>
      </c>
      <c r="B3" s="6"/>
      <c r="C3" s="7" t="s">
        <v>3</v>
      </c>
      <c r="D3" s="8" t="str">
        <f>IF([1]Configuration!D3=1,"4K@60fps","4K@120fps")</f>
        <v>4K@120fps</v>
      </c>
      <c r="E3" s="5"/>
    </row>
    <row r="4" spans="1:5" ht="30" customHeight="1">
      <c r="A4" s="6"/>
      <c r="B4" s="6"/>
      <c r="C4" s="7" t="s">
        <v>4</v>
      </c>
      <c r="D4" s="8" t="str">
        <f>IF([1]Configuration!D3=1,IF(D7&gt;1,"4K@120fps","Not Support"),IF(D7=1,"Not Support","8K@60fps"))</f>
        <v>8K@60fps</v>
      </c>
      <c r="E4" s="5" t="s">
        <v>5</v>
      </c>
    </row>
    <row r="5" spans="1:5">
      <c r="A5" s="3" t="s">
        <v>6</v>
      </c>
      <c r="B5" s="3"/>
      <c r="C5" s="5" t="s">
        <v>7</v>
      </c>
      <c r="D5" s="8">
        <f>[1]Configuration!D3</f>
        <v>2</v>
      </c>
      <c r="E5" s="5"/>
    </row>
    <row r="6" spans="1:5">
      <c r="A6" s="9" t="s">
        <v>8</v>
      </c>
      <c r="B6" s="9"/>
      <c r="C6" s="5" t="s">
        <v>9</v>
      </c>
      <c r="D6" s="8">
        <f>ROUNDUP(SUM([1]Configuration!D4:D6)/8,0)</f>
        <v>2</v>
      </c>
      <c r="E6" s="5"/>
    </row>
    <row r="7" spans="1:5">
      <c r="A7" s="9"/>
      <c r="B7" s="9"/>
      <c r="C7" s="5" t="s">
        <v>10</v>
      </c>
      <c r="D7" s="8">
        <f>[1]Configuration!D8</f>
        <v>4</v>
      </c>
      <c r="E7" s="5"/>
    </row>
    <row r="8" spans="1:5">
      <c r="A8" s="9" t="s">
        <v>11</v>
      </c>
      <c r="B8" s="9"/>
      <c r="C8" s="5" t="s">
        <v>12</v>
      </c>
      <c r="D8" s="8" t="str">
        <f>[1]Configuration!D9</f>
        <v>DEC400A</v>
      </c>
      <c r="E8" s="5"/>
    </row>
    <row r="9" spans="1:5" ht="76.5">
      <c r="A9" s="9" t="s">
        <v>13</v>
      </c>
      <c r="B9" s="10"/>
      <c r="C9" s="5" t="s">
        <v>14</v>
      </c>
      <c r="D9" s="8" t="s">
        <v>15</v>
      </c>
      <c r="E9" s="11" t="s">
        <v>16</v>
      </c>
    </row>
    <row r="10" spans="1:5">
      <c r="A10" s="12"/>
      <c r="B10" s="13"/>
      <c r="C10" s="5" t="s">
        <v>17</v>
      </c>
      <c r="D10" s="8" t="str">
        <f>ROUNDUP(SUM([1]Configuration!D4:D6)/3,0)&amp;"x"&amp;[1]Configuration!D10</f>
        <v>4x256bits</v>
      </c>
      <c r="E10" s="5"/>
    </row>
    <row r="11" spans="1:5">
      <c r="A11" s="12"/>
      <c r="B11" s="13"/>
      <c r="C11" s="5" t="s">
        <v>18</v>
      </c>
      <c r="D11" s="8" t="str">
        <f>IF([1]Configuration!D87="Not Used","Not Support","1x"&amp;[1]Configuration!D10)</f>
        <v>1x256bits</v>
      </c>
      <c r="E11" s="5" t="s">
        <v>19</v>
      </c>
    </row>
    <row r="12" spans="1:5">
      <c r="A12" s="9" t="s">
        <v>20</v>
      </c>
      <c r="B12" s="10"/>
      <c r="C12" s="5" t="s">
        <v>21</v>
      </c>
      <c r="D12" s="8" t="str">
        <f>D6+1&amp;"x32bits"</f>
        <v>3x32bits</v>
      </c>
      <c r="E12" s="5"/>
    </row>
    <row r="13" spans="1:5">
      <c r="A13" s="14" t="s">
        <v>9</v>
      </c>
      <c r="B13" s="15" t="s">
        <v>22</v>
      </c>
      <c r="C13" s="15"/>
      <c r="D13" s="8">
        <f>[1]Configuration!D7</f>
        <v>0</v>
      </c>
      <c r="E13" s="5"/>
    </row>
    <row r="14" spans="1:5">
      <c r="A14" s="14"/>
      <c r="B14" s="16" t="s">
        <v>23</v>
      </c>
      <c r="C14" s="17" t="s">
        <v>24</v>
      </c>
      <c r="D14" s="18" t="str">
        <f>[1]Configuration!D14</f>
        <v>Video</v>
      </c>
      <c r="E14" s="5"/>
    </row>
    <row r="15" spans="1:5" ht="25.5">
      <c r="A15" s="14"/>
      <c r="B15" s="19"/>
      <c r="C15" s="5" t="s">
        <v>25</v>
      </c>
      <c r="D15" s="18" t="str">
        <f>IF([1]Configuration!D14="Not Used","",IF([1]Configuration!D14="Video","YUV+RGB format;",IF([1]Configuration!D14="Graphic","RGB format only;",IF([1]Configuration!D14="Simple","Linear YUV+RGB format;","ARGB8"))))</f>
        <v>YUV+RGB format;</v>
      </c>
      <c r="E15" s="5"/>
    </row>
    <row r="16" spans="1:5">
      <c r="A16" s="14"/>
      <c r="B16" s="19"/>
      <c r="C16" s="5" t="s">
        <v>26</v>
      </c>
      <c r="D16" s="18" t="str">
        <f>IF([1]Configuration!D14="Not Used","",IF(OR([1]Configuration!D14="Simple",[1]Configuration!D14="Cursor"),"Linear","Tile&amp;Linear"))</f>
        <v>Tile&amp;Linear</v>
      </c>
      <c r="E16" s="5"/>
    </row>
    <row r="17" spans="1:5">
      <c r="A17" s="14"/>
      <c r="B17" s="19"/>
      <c r="C17" s="5" t="s">
        <v>11</v>
      </c>
      <c r="D17" s="18" t="str">
        <f>[1]Configuration!D15</f>
        <v>Support</v>
      </c>
      <c r="E17" s="5"/>
    </row>
    <row r="18" spans="1:5">
      <c r="A18" s="14"/>
      <c r="B18" s="19"/>
      <c r="C18" s="5" t="s">
        <v>27</v>
      </c>
      <c r="D18" s="18" t="str">
        <f>IF([1]Configuration!D14="Not Used","",IF([1]Configuration!D14="Cursor","256x256","4096x2160"))</f>
        <v>4096x2160</v>
      </c>
      <c r="E18" s="5"/>
    </row>
    <row r="19" spans="1:5">
      <c r="A19" s="14"/>
      <c r="B19" s="19"/>
      <c r="C19" s="5" t="s">
        <v>28</v>
      </c>
      <c r="D19" s="18" t="str">
        <f>IF([1]Configuration!D14="Not Used","",IF(OR([1]Configuration!D14="Video",[1]Configuration!D14="Graphic"),"Support","Not Support"))</f>
        <v>Support</v>
      </c>
      <c r="E19" s="5" t="s">
        <v>29</v>
      </c>
    </row>
    <row r="20" spans="1:5">
      <c r="A20" s="14"/>
      <c r="B20" s="19"/>
      <c r="C20" s="5" t="s">
        <v>30</v>
      </c>
      <c r="D20" s="18" t="str">
        <f>IF([1]Configuration!D14="Not Used","",IF([1]Configuration!D14="Cursor","Not Support","Support"))</f>
        <v>Support</v>
      </c>
      <c r="E20" s="5" t="s">
        <v>31</v>
      </c>
    </row>
    <row r="21" spans="1:5">
      <c r="A21" s="14"/>
      <c r="B21" s="19"/>
      <c r="C21" s="5" t="s">
        <v>32</v>
      </c>
      <c r="D21" s="18" t="str">
        <f>IF([1]Configuration!D14="Not Used","","Support")</f>
        <v>Support</v>
      </c>
      <c r="E21" s="5"/>
    </row>
    <row r="22" spans="1:5">
      <c r="A22" s="14"/>
      <c r="B22" s="19"/>
      <c r="C22" s="5" t="s">
        <v>33</v>
      </c>
      <c r="D22" s="18" t="str">
        <f>IF([1]Configuration!D14="Not Used","","Support")</f>
        <v>Support</v>
      </c>
      <c r="E22" s="5"/>
    </row>
    <row r="23" spans="1:5">
      <c r="A23" s="14"/>
      <c r="B23" s="19"/>
      <c r="C23" s="5" t="s">
        <v>34</v>
      </c>
      <c r="D23" s="18" t="str">
        <f>IF([1]Configuration!D14="Not Used","","Support")</f>
        <v>Support</v>
      </c>
      <c r="E23" s="5"/>
    </row>
    <row r="24" spans="1:5">
      <c r="A24" s="14"/>
      <c r="B24" s="19"/>
      <c r="C24" s="5" t="s">
        <v>35</v>
      </c>
      <c r="D24" s="18" t="str">
        <f>[1]Configuration!D17</f>
        <v>Support</v>
      </c>
      <c r="E24" s="5"/>
    </row>
    <row r="25" spans="1:5">
      <c r="A25" s="14"/>
      <c r="B25" s="19"/>
      <c r="C25" s="5" t="s">
        <v>36</v>
      </c>
      <c r="D25" s="18" t="str">
        <f>[1]Configuration!D16</f>
        <v>Support</v>
      </c>
      <c r="E25" s="20"/>
    </row>
    <row r="26" spans="1:5">
      <c r="A26" s="14"/>
      <c r="B26" s="19"/>
      <c r="C26" s="5" t="s">
        <v>37</v>
      </c>
      <c r="D26" s="18" t="str">
        <f>IF([1]Configuration!D14="Not Used","",IF(OR([1]Configuration!D14="Video",[1]Configuration!D14="Simple"),"Support","Not Support"))</f>
        <v>Support</v>
      </c>
      <c r="E26" s="5"/>
    </row>
    <row r="27" spans="1:5">
      <c r="A27" s="14"/>
      <c r="B27" s="19"/>
      <c r="C27" s="5" t="s">
        <v>38</v>
      </c>
      <c r="D27" s="18" t="str">
        <f>IF([1]Configuration!D14="Not Used","","Support")</f>
        <v>Support</v>
      </c>
      <c r="E27" s="5"/>
    </row>
    <row r="28" spans="1:5">
      <c r="A28" s="14"/>
      <c r="B28" s="19" t="s">
        <v>39</v>
      </c>
      <c r="C28" s="5" t="s">
        <v>24</v>
      </c>
      <c r="D28" s="18" t="str">
        <f>[1]Configuration!D18</f>
        <v>Video</v>
      </c>
      <c r="E28" s="5"/>
    </row>
    <row r="29" spans="1:5" ht="25.5">
      <c r="A29" s="14"/>
      <c r="B29" s="19"/>
      <c r="C29" s="5" t="s">
        <v>25</v>
      </c>
      <c r="D29" s="18" t="str">
        <f>IF([1]Configuration!D18="Not Used","",IF([1]Configuration!D18="Video","YUV+RGB format;",IF([1]Configuration!D18="Graphic","RGB format only;",IF([1]Configuration!D18="Simple","Linear YUV+RGB format;","ARGB8"))))</f>
        <v>YUV+RGB format;</v>
      </c>
      <c r="E29" s="5"/>
    </row>
    <row r="30" spans="1:5">
      <c r="A30" s="14"/>
      <c r="B30" s="19"/>
      <c r="C30" s="5" t="s">
        <v>26</v>
      </c>
      <c r="D30" s="18" t="str">
        <f>IF([1]Configuration!D18="Not Used","",IF(OR([1]Configuration!D18="Simple",[1]Configuration!D18="Cursor"),"Linear","Tile&amp;Linear"))</f>
        <v>Tile&amp;Linear</v>
      </c>
      <c r="E30" s="5"/>
    </row>
    <row r="31" spans="1:5">
      <c r="A31" s="14"/>
      <c r="B31" s="19"/>
      <c r="C31" s="5" t="s">
        <v>11</v>
      </c>
      <c r="D31" s="18" t="str">
        <f>[1]Configuration!D19</f>
        <v>Support</v>
      </c>
      <c r="E31" s="5"/>
    </row>
    <row r="32" spans="1:5">
      <c r="A32" s="14"/>
      <c r="B32" s="19"/>
      <c r="C32" s="5" t="s">
        <v>27</v>
      </c>
      <c r="D32" s="18" t="str">
        <f>IF([1]Configuration!D18="Not Used","",IF([1]Configuration!D18="Cursor","256x256","4096x2160"))</f>
        <v>4096x2160</v>
      </c>
      <c r="E32" s="5"/>
    </row>
    <row r="33" spans="1:5">
      <c r="A33" s="14"/>
      <c r="B33" s="19"/>
      <c r="C33" s="5" t="s">
        <v>28</v>
      </c>
      <c r="D33" s="18" t="str">
        <f>IF([1]Configuration!D18="Not Used","",IF(OR([1]Configuration!D18="Video",[1]Configuration!D18="Graphic"),"Support","Not Support"))</f>
        <v>Support</v>
      </c>
      <c r="E33" s="5" t="s">
        <v>29</v>
      </c>
    </row>
    <row r="34" spans="1:5">
      <c r="A34" s="14"/>
      <c r="B34" s="19"/>
      <c r="C34" s="5" t="s">
        <v>30</v>
      </c>
      <c r="D34" s="18" t="str">
        <f>IF([1]Configuration!D18="Not Used","",IF([1]Configuration!D18="Cursor","Not Support","Support"))</f>
        <v>Support</v>
      </c>
      <c r="E34" s="5" t="s">
        <v>31</v>
      </c>
    </row>
    <row r="35" spans="1:5">
      <c r="A35" s="14"/>
      <c r="B35" s="19"/>
      <c r="C35" s="5" t="s">
        <v>32</v>
      </c>
      <c r="D35" s="18" t="str">
        <f>IF([1]Configuration!D18="Not Used","","Support")</f>
        <v>Support</v>
      </c>
      <c r="E35" s="5"/>
    </row>
    <row r="36" spans="1:5">
      <c r="A36" s="14"/>
      <c r="B36" s="19"/>
      <c r="C36" s="5" t="s">
        <v>33</v>
      </c>
      <c r="D36" s="18" t="str">
        <f>IF([1]Configuration!D18="Not Used","","Support")</f>
        <v>Support</v>
      </c>
      <c r="E36" s="5"/>
    </row>
    <row r="37" spans="1:5">
      <c r="A37" s="14"/>
      <c r="B37" s="19"/>
      <c r="C37" s="5" t="s">
        <v>34</v>
      </c>
      <c r="D37" s="18" t="str">
        <f>IF([1]Configuration!D18="Not Used","","Support")</f>
        <v>Support</v>
      </c>
      <c r="E37" s="5"/>
    </row>
    <row r="38" spans="1:5">
      <c r="A38" s="14"/>
      <c r="B38" s="19"/>
      <c r="C38" s="5" t="s">
        <v>35</v>
      </c>
      <c r="D38" s="18" t="str">
        <f>[1]Configuration!D21</f>
        <v>Support</v>
      </c>
      <c r="E38" s="5"/>
    </row>
    <row r="39" spans="1:5">
      <c r="A39" s="14"/>
      <c r="B39" s="19"/>
      <c r="C39" s="5" t="s">
        <v>36</v>
      </c>
      <c r="D39" s="18" t="str">
        <f>[1]Configuration!D20</f>
        <v>Support</v>
      </c>
      <c r="E39" s="20"/>
    </row>
    <row r="40" spans="1:5">
      <c r="A40" s="14"/>
      <c r="B40" s="19"/>
      <c r="C40" s="5" t="s">
        <v>37</v>
      </c>
      <c r="D40" s="18" t="str">
        <f>IF([1]Configuration!D18="Not Used","",IF(OR([1]Configuration!D18="Video",[1]Configuration!D18="Simple"),"Support","Not Support"))</f>
        <v>Support</v>
      </c>
      <c r="E40" s="5"/>
    </row>
    <row r="41" spans="1:5">
      <c r="A41" s="14"/>
      <c r="B41" s="19"/>
      <c r="C41" s="5" t="s">
        <v>38</v>
      </c>
      <c r="D41" s="18" t="str">
        <f>IF([1]Configuration!D18="Not Used","","Support")</f>
        <v>Support</v>
      </c>
      <c r="E41" s="5"/>
    </row>
    <row r="42" spans="1:5">
      <c r="A42" s="14"/>
      <c r="B42" s="19" t="s">
        <v>63</v>
      </c>
      <c r="C42" s="5" t="s">
        <v>24</v>
      </c>
      <c r="D42" s="18" t="str">
        <f>[1]Configuration!D22</f>
        <v>Video</v>
      </c>
      <c r="E42" s="5"/>
    </row>
    <row r="43" spans="1:5" ht="25.5">
      <c r="A43" s="14"/>
      <c r="B43" s="19"/>
      <c r="C43" s="5" t="s">
        <v>25</v>
      </c>
      <c r="D43" s="18" t="str">
        <f>IF([1]Configuration!D22="Not Used","",IF([1]Configuration!D22="Video","YUV+RGB format;",IF([1]Configuration!D22="Graphic","RGB format only;",IF([1]Configuration!D22="Simple","Linear YUV+RGB format;","ARGB8"))))</f>
        <v>YUV+RGB format;</v>
      </c>
      <c r="E43" s="5"/>
    </row>
    <row r="44" spans="1:5">
      <c r="A44" s="14"/>
      <c r="B44" s="19"/>
      <c r="C44" s="5" t="s">
        <v>26</v>
      </c>
      <c r="D44" s="18" t="str">
        <f>IF([1]Configuration!D22="Not Used","",IF(OR([1]Configuration!D22="Simple",[1]Configuration!D22="Cursor"),"Linear","Tile&amp;Linear"))</f>
        <v>Tile&amp;Linear</v>
      </c>
      <c r="E44" s="5"/>
    </row>
    <row r="45" spans="1:5">
      <c r="A45" s="14"/>
      <c r="B45" s="19"/>
      <c r="C45" s="5" t="s">
        <v>11</v>
      </c>
      <c r="D45" s="18" t="str">
        <f>[1]Configuration!D23</f>
        <v>Support</v>
      </c>
      <c r="E45" s="5"/>
    </row>
    <row r="46" spans="1:5">
      <c r="A46" s="14"/>
      <c r="B46" s="19"/>
      <c r="C46" s="5" t="s">
        <v>27</v>
      </c>
      <c r="D46" s="18" t="str">
        <f>IF([1]Configuration!D22="Not Used","",IF([1]Configuration!D22="Cursor","256x256","4096x2160"))</f>
        <v>4096x2160</v>
      </c>
      <c r="E46" s="5"/>
    </row>
    <row r="47" spans="1:5">
      <c r="A47" s="14"/>
      <c r="B47" s="19"/>
      <c r="C47" s="5" t="s">
        <v>28</v>
      </c>
      <c r="D47" s="18" t="str">
        <f>IF([1]Configuration!D22="Not Used","",IF(OR([1]Configuration!D22="Video",[1]Configuration!D22="Graphic"),"Support","Not Support"))</f>
        <v>Support</v>
      </c>
      <c r="E47" s="5" t="s">
        <v>29</v>
      </c>
    </row>
    <row r="48" spans="1:5">
      <c r="A48" s="14"/>
      <c r="B48" s="19"/>
      <c r="C48" s="5" t="s">
        <v>30</v>
      </c>
      <c r="D48" s="18" t="str">
        <f>IF([1]Configuration!D22="Not Used","",IF([1]Configuration!D22="Cursor","Not Support","Support"))</f>
        <v>Support</v>
      </c>
      <c r="E48" s="5" t="s">
        <v>31</v>
      </c>
    </row>
    <row r="49" spans="1:5">
      <c r="A49" s="14"/>
      <c r="B49" s="19"/>
      <c r="C49" s="5" t="s">
        <v>32</v>
      </c>
      <c r="D49" s="18" t="str">
        <f>IF([1]Configuration!D22="Not Used","","Support")</f>
        <v>Support</v>
      </c>
      <c r="E49" s="5"/>
    </row>
    <row r="50" spans="1:5">
      <c r="A50" s="14"/>
      <c r="B50" s="19"/>
      <c r="C50" s="5" t="s">
        <v>33</v>
      </c>
      <c r="D50" s="18" t="str">
        <f>IF([1]Configuration!D22="Not Used","","Support")</f>
        <v>Support</v>
      </c>
      <c r="E50" s="5"/>
    </row>
    <row r="51" spans="1:5">
      <c r="A51" s="14"/>
      <c r="B51" s="19"/>
      <c r="C51" s="5" t="s">
        <v>34</v>
      </c>
      <c r="D51" s="18" t="str">
        <f>IF([1]Configuration!D22="Not Used","","Support")</f>
        <v>Support</v>
      </c>
      <c r="E51" s="5"/>
    </row>
    <row r="52" spans="1:5">
      <c r="A52" s="14"/>
      <c r="B52" s="19"/>
      <c r="C52" s="5" t="s">
        <v>35</v>
      </c>
      <c r="D52" s="18" t="str">
        <f>[1]Configuration!D25</f>
        <v>Support</v>
      </c>
      <c r="E52" s="5"/>
    </row>
    <row r="53" spans="1:5">
      <c r="A53" s="14"/>
      <c r="B53" s="19"/>
      <c r="C53" s="5" t="s">
        <v>36</v>
      </c>
      <c r="D53" s="18" t="str">
        <f>[1]Configuration!D24</f>
        <v>Support</v>
      </c>
      <c r="E53" s="20"/>
    </row>
    <row r="54" spans="1:5">
      <c r="A54" s="14"/>
      <c r="B54" s="19"/>
      <c r="C54" s="5" t="s">
        <v>37</v>
      </c>
      <c r="D54" s="18" t="str">
        <f>IF([1]Configuration!D22="Not Used","",IF(OR([1]Configuration!D22="Video",[1]Configuration!D22="Simple"),"Support","Not Support"))</f>
        <v>Support</v>
      </c>
      <c r="E54" s="5"/>
    </row>
    <row r="55" spans="1:5">
      <c r="A55" s="14"/>
      <c r="B55" s="19"/>
      <c r="C55" s="5" t="s">
        <v>38</v>
      </c>
      <c r="D55" s="18" t="str">
        <f>IF([1]Configuration!D22="Not Used","","Support")</f>
        <v>Support</v>
      </c>
      <c r="E55" s="5"/>
    </row>
    <row r="56" spans="1:5">
      <c r="A56" s="14"/>
      <c r="B56" s="19" t="s">
        <v>67</v>
      </c>
      <c r="C56" s="5" t="s">
        <v>24</v>
      </c>
      <c r="D56" s="18" t="str">
        <f>[1]Configuration!D26</f>
        <v>Video</v>
      </c>
      <c r="E56" s="5"/>
    </row>
    <row r="57" spans="1:5" ht="25.5">
      <c r="A57" s="14"/>
      <c r="B57" s="19"/>
      <c r="C57" s="5" t="s">
        <v>25</v>
      </c>
      <c r="D57" s="18" t="str">
        <f>IF([1]Configuration!D26="Not Used","",IF([1]Configuration!D26="Video","YUV+RGB format;",IF([1]Configuration!D26="Graphic","RGB format only;",IF([1]Configuration!D26="Simple","Linear YUV+RGB format;","ARGB8"))))</f>
        <v>YUV+RGB format;</v>
      </c>
      <c r="E57" s="5"/>
    </row>
    <row r="58" spans="1:5">
      <c r="A58" s="14"/>
      <c r="B58" s="19"/>
      <c r="C58" s="5" t="s">
        <v>26</v>
      </c>
      <c r="D58" s="18" t="str">
        <f>IF([1]Configuration!D26="Not Used","",IF(OR([1]Configuration!D26="Simple",[1]Configuration!D26="Cursor"),"Linear","Tile&amp;Linear"))</f>
        <v>Tile&amp;Linear</v>
      </c>
      <c r="E58" s="5"/>
    </row>
    <row r="59" spans="1:5">
      <c r="A59" s="14"/>
      <c r="B59" s="19"/>
      <c r="C59" s="5" t="s">
        <v>11</v>
      </c>
      <c r="D59" s="18" t="str">
        <f>[1]Configuration!D27</f>
        <v>Support</v>
      </c>
      <c r="E59" s="5"/>
    </row>
    <row r="60" spans="1:5">
      <c r="A60" s="14"/>
      <c r="B60" s="19"/>
      <c r="C60" s="5" t="s">
        <v>27</v>
      </c>
      <c r="D60" s="18" t="str">
        <f>IF([1]Configuration!D26="Not Used","",IF([1]Configuration!D26="Cursor","256x256","4096x2160"))</f>
        <v>4096x2160</v>
      </c>
      <c r="E60" s="5"/>
    </row>
    <row r="61" spans="1:5">
      <c r="A61" s="14"/>
      <c r="B61" s="19"/>
      <c r="C61" s="5" t="s">
        <v>28</v>
      </c>
      <c r="D61" s="18" t="str">
        <f>IF([1]Configuration!D26="Not Used","",IF(OR([1]Configuration!D26="Video",[1]Configuration!D26="Graphic"),"Support","Not Support"))</f>
        <v>Support</v>
      </c>
      <c r="E61" s="5" t="s">
        <v>29</v>
      </c>
    </row>
    <row r="62" spans="1:5">
      <c r="A62" s="14"/>
      <c r="B62" s="19"/>
      <c r="C62" s="5" t="s">
        <v>30</v>
      </c>
      <c r="D62" s="18" t="str">
        <f>IF([1]Configuration!D26="Not Used","",IF([1]Configuration!D26="Cursor","Not Support","Support"))</f>
        <v>Support</v>
      </c>
      <c r="E62" s="5" t="s">
        <v>31</v>
      </c>
    </row>
    <row r="63" spans="1:5">
      <c r="A63" s="14"/>
      <c r="B63" s="19"/>
      <c r="C63" s="5" t="s">
        <v>32</v>
      </c>
      <c r="D63" s="18" t="str">
        <f>IF([1]Configuration!D26="Not Used","","Support")</f>
        <v>Support</v>
      </c>
      <c r="E63" s="5"/>
    </row>
    <row r="64" spans="1:5">
      <c r="A64" s="14"/>
      <c r="B64" s="19"/>
      <c r="C64" s="5" t="s">
        <v>33</v>
      </c>
      <c r="D64" s="18" t="str">
        <f>IF([1]Configuration!D26="Not Used","","Support")</f>
        <v>Support</v>
      </c>
      <c r="E64" s="5"/>
    </row>
    <row r="65" spans="1:5">
      <c r="A65" s="14"/>
      <c r="B65" s="19"/>
      <c r="C65" s="5" t="s">
        <v>34</v>
      </c>
      <c r="D65" s="18" t="str">
        <f>IF([1]Configuration!D26="Not Used","","Support")</f>
        <v>Support</v>
      </c>
      <c r="E65" s="5"/>
    </row>
    <row r="66" spans="1:5">
      <c r="A66" s="14"/>
      <c r="B66" s="19"/>
      <c r="C66" s="5" t="s">
        <v>35</v>
      </c>
      <c r="D66" s="18" t="str">
        <f>[1]Configuration!D29</f>
        <v>Support</v>
      </c>
      <c r="E66" s="5"/>
    </row>
    <row r="67" spans="1:5">
      <c r="A67" s="14"/>
      <c r="B67" s="19"/>
      <c r="C67" s="5" t="s">
        <v>36</v>
      </c>
      <c r="D67" s="18" t="str">
        <f>[1]Configuration!D28</f>
        <v>Support</v>
      </c>
      <c r="E67" s="20"/>
    </row>
    <row r="68" spans="1:5">
      <c r="A68" s="14"/>
      <c r="B68" s="19"/>
      <c r="C68" s="5" t="s">
        <v>37</v>
      </c>
      <c r="D68" s="18" t="str">
        <f>IF([1]Configuration!D26="Not Used","",IF(OR([1]Configuration!D26="Video",[1]Configuration!D26="Simple"),"Support","Not Support"))</f>
        <v>Support</v>
      </c>
      <c r="E68" s="5"/>
    </row>
    <row r="69" spans="1:5">
      <c r="A69" s="14"/>
      <c r="B69" s="19"/>
      <c r="C69" s="5" t="s">
        <v>38</v>
      </c>
      <c r="D69" s="18" t="str">
        <f>IF([1]Configuration!D26="Not Used","","Support")</f>
        <v>Support</v>
      </c>
      <c r="E69" s="5"/>
    </row>
    <row r="70" spans="1:5">
      <c r="A70" s="14"/>
      <c r="B70" s="19" t="s">
        <v>65</v>
      </c>
      <c r="C70" s="5" t="s">
        <v>24</v>
      </c>
      <c r="D70" s="18" t="str">
        <f>[1]Configuration!D30</f>
        <v>Graphic</v>
      </c>
      <c r="E70" s="5"/>
    </row>
    <row r="71" spans="1:5" ht="25.5">
      <c r="A71" s="14"/>
      <c r="B71" s="19"/>
      <c r="C71" s="5" t="s">
        <v>25</v>
      </c>
      <c r="D71" s="18" t="str">
        <f>IF([1]Configuration!D30="Not Used","",IF([1]Configuration!D30="Video","YUV+RGB format;",IF([1]Configuration!D30="Graphic","RGB format only;",IF([1]Configuration!D30="Simple","Linear YUV+RGB format;","ARGB8"))))</f>
        <v>RGB format only;</v>
      </c>
      <c r="E71" s="5"/>
    </row>
    <row r="72" spans="1:5">
      <c r="A72" s="14"/>
      <c r="B72" s="19"/>
      <c r="C72" s="5" t="s">
        <v>26</v>
      </c>
      <c r="D72" s="18" t="str">
        <f>IF([1]Configuration!D30="Not Used","",IF(OR([1]Configuration!D30="Simple",[1]Configuration!D30="Cursor"),"Linear","Tile&amp;Linear"))</f>
        <v>Tile&amp;Linear</v>
      </c>
      <c r="E72" s="5"/>
    </row>
    <row r="73" spans="1:5">
      <c r="A73" s="14"/>
      <c r="B73" s="19"/>
      <c r="C73" s="5" t="s">
        <v>11</v>
      </c>
      <c r="D73" s="18" t="str">
        <f>[1]Configuration!D31</f>
        <v>Support</v>
      </c>
      <c r="E73" s="5"/>
    </row>
    <row r="74" spans="1:5">
      <c r="A74" s="14"/>
      <c r="B74" s="19"/>
      <c r="C74" s="5" t="s">
        <v>27</v>
      </c>
      <c r="D74" s="18" t="str">
        <f>IF([1]Configuration!D30="Not Used","",IF([1]Configuration!D30="Cursor","256x256","4096x2160"))</f>
        <v>4096x2160</v>
      </c>
      <c r="E74" s="5"/>
    </row>
    <row r="75" spans="1:5">
      <c r="A75" s="14"/>
      <c r="B75" s="19"/>
      <c r="C75" s="5" t="s">
        <v>28</v>
      </c>
      <c r="D75" s="18" t="str">
        <f>IF([1]Configuration!D30="Not Used","",IF(OR([1]Configuration!D30="Video",[1]Configuration!D30="Graphic"),"Support","Not Support"))</f>
        <v>Support</v>
      </c>
      <c r="E75" s="5" t="s">
        <v>29</v>
      </c>
    </row>
    <row r="76" spans="1:5">
      <c r="A76" s="14"/>
      <c r="B76" s="19"/>
      <c r="C76" s="5" t="s">
        <v>30</v>
      </c>
      <c r="D76" s="18" t="str">
        <f>IF([1]Configuration!D30="Not Used","",IF([1]Configuration!D30="Cursor","Not Support","Support"))</f>
        <v>Support</v>
      </c>
      <c r="E76" s="5" t="s">
        <v>31</v>
      </c>
    </row>
    <row r="77" spans="1:5">
      <c r="A77" s="14"/>
      <c r="B77" s="19"/>
      <c r="C77" s="5" t="s">
        <v>32</v>
      </c>
      <c r="D77" s="18" t="str">
        <f>IF([1]Configuration!D30="Not Used","","Support")</f>
        <v>Support</v>
      </c>
      <c r="E77" s="5"/>
    </row>
    <row r="78" spans="1:5">
      <c r="A78" s="14"/>
      <c r="B78" s="19"/>
      <c r="C78" s="5" t="s">
        <v>33</v>
      </c>
      <c r="D78" s="18" t="str">
        <f>IF([1]Configuration!D30="Not Used","","Support")</f>
        <v>Support</v>
      </c>
      <c r="E78" s="5"/>
    </row>
    <row r="79" spans="1:5">
      <c r="A79" s="14"/>
      <c r="B79" s="19"/>
      <c r="C79" s="5" t="s">
        <v>34</v>
      </c>
      <c r="D79" s="18" t="str">
        <f>IF([1]Configuration!D30="Not Used","","Support")</f>
        <v>Support</v>
      </c>
      <c r="E79" s="5"/>
    </row>
    <row r="80" spans="1:5">
      <c r="A80" s="14"/>
      <c r="B80" s="19"/>
      <c r="C80" s="5" t="s">
        <v>35</v>
      </c>
      <c r="D80" s="18" t="str">
        <f>[1]Configuration!D33</f>
        <v>Not Support</v>
      </c>
      <c r="E80" s="5" t="str">
        <f>IF([1]Configuration!D33="Support",IF([1]Configuration!D30="Video",[1]Configuration!G4,""),"")</f>
        <v/>
      </c>
    </row>
    <row r="81" spans="1:5">
      <c r="A81" s="14"/>
      <c r="B81" s="19"/>
      <c r="C81" s="5" t="s">
        <v>36</v>
      </c>
      <c r="D81" s="18" t="str">
        <f>[1]Configuration!D32</f>
        <v>Not Support</v>
      </c>
      <c r="E81" s="20"/>
    </row>
    <row r="82" spans="1:5">
      <c r="A82" s="14"/>
      <c r="B82" s="19"/>
      <c r="C82" s="5" t="s">
        <v>37</v>
      </c>
      <c r="D82" s="18" t="str">
        <f>IF([1]Configuration!D30="Not Used","",IF(OR([1]Configuration!D30="Video",[1]Configuration!D30="Simple"),"Support","Not Support"))</f>
        <v>Not Support</v>
      </c>
      <c r="E82" s="5"/>
    </row>
    <row r="83" spans="1:5">
      <c r="A83" s="14"/>
      <c r="B83" s="19"/>
      <c r="C83" s="5" t="s">
        <v>38</v>
      </c>
      <c r="D83" s="18" t="str">
        <f>IF([1]Configuration!D30="Not Used","","Support")</f>
        <v>Support</v>
      </c>
      <c r="E83" s="5"/>
    </row>
    <row r="84" spans="1:5">
      <c r="A84" s="14"/>
      <c r="B84" s="19" t="s">
        <v>66</v>
      </c>
      <c r="C84" s="5" t="s">
        <v>24</v>
      </c>
      <c r="D84" s="18" t="str">
        <f>[1]Configuration!D34</f>
        <v>Graphic</v>
      </c>
      <c r="E84" s="5"/>
    </row>
    <row r="85" spans="1:5" ht="25.5">
      <c r="A85" s="14"/>
      <c r="B85" s="19"/>
      <c r="C85" s="5" t="s">
        <v>25</v>
      </c>
      <c r="D85" s="18" t="str">
        <f>IF([1]Configuration!D34="Not Used","",IF([1]Configuration!D34="Video","YUV+RGB format;",IF([1]Configuration!D34="Graphic","RGB format only;",IF([1]Configuration!D34="Simple","Linear YUV+RGB format;","ARGB8"))))</f>
        <v>RGB format only;</v>
      </c>
      <c r="E85" s="5"/>
    </row>
    <row r="86" spans="1:5">
      <c r="A86" s="14"/>
      <c r="B86" s="19"/>
      <c r="C86" s="5" t="s">
        <v>26</v>
      </c>
      <c r="D86" s="18" t="str">
        <f>IF([1]Configuration!D34="Not Used","",IF(OR([1]Configuration!D34="Simple",[1]Configuration!D34="Cursor"),"Linear","Tile&amp;Linear"))</f>
        <v>Tile&amp;Linear</v>
      </c>
      <c r="E86" s="5"/>
    </row>
    <row r="87" spans="1:5">
      <c r="A87" s="14"/>
      <c r="B87" s="19"/>
      <c r="C87" s="5" t="s">
        <v>11</v>
      </c>
      <c r="D87" s="18" t="str">
        <f>[1]Configuration!D35</f>
        <v>Support</v>
      </c>
      <c r="E87" s="5"/>
    </row>
    <row r="88" spans="1:5">
      <c r="A88" s="14"/>
      <c r="B88" s="19"/>
      <c r="C88" s="5" t="s">
        <v>27</v>
      </c>
      <c r="D88" s="18" t="str">
        <f>IF([1]Configuration!D34="Not Used","",IF([1]Configuration!D34="Cursor","256x256","4096x2160"))</f>
        <v>4096x2160</v>
      </c>
      <c r="E88" s="5"/>
    </row>
    <row r="89" spans="1:5">
      <c r="A89" s="14"/>
      <c r="B89" s="19"/>
      <c r="C89" s="5" t="s">
        <v>28</v>
      </c>
      <c r="D89" s="18" t="str">
        <f>IF([1]Configuration!D34="Not Used","",IF(OR([1]Configuration!D34="Video",[1]Configuration!D34="Graphic"),"Support","Not Support"))</f>
        <v>Support</v>
      </c>
      <c r="E89" s="5" t="s">
        <v>29</v>
      </c>
    </row>
    <row r="90" spans="1:5">
      <c r="A90" s="14"/>
      <c r="B90" s="19"/>
      <c r="C90" s="5" t="s">
        <v>30</v>
      </c>
      <c r="D90" s="18" t="str">
        <f>IF([1]Configuration!D34="Not Used","",IF([1]Configuration!D34="Cursor","Not Support","Support"))</f>
        <v>Support</v>
      </c>
      <c r="E90" s="5" t="s">
        <v>31</v>
      </c>
    </row>
    <row r="91" spans="1:5">
      <c r="A91" s="14"/>
      <c r="B91" s="19"/>
      <c r="C91" s="5" t="s">
        <v>32</v>
      </c>
      <c r="D91" s="18" t="str">
        <f>IF([1]Configuration!D34="Not Used","","Support")</f>
        <v>Support</v>
      </c>
      <c r="E91" s="5"/>
    </row>
    <row r="92" spans="1:5">
      <c r="A92" s="14"/>
      <c r="B92" s="19"/>
      <c r="C92" s="5" t="s">
        <v>33</v>
      </c>
      <c r="D92" s="18" t="str">
        <f>IF([1]Configuration!D34="Not Used","","Support")</f>
        <v>Support</v>
      </c>
      <c r="E92" s="5"/>
    </row>
    <row r="93" spans="1:5">
      <c r="A93" s="14"/>
      <c r="B93" s="19"/>
      <c r="C93" s="5" t="s">
        <v>34</v>
      </c>
      <c r="D93" s="18" t="str">
        <f>IF([1]Configuration!D34="Not Used","","Support")</f>
        <v>Support</v>
      </c>
      <c r="E93" s="5"/>
    </row>
    <row r="94" spans="1:5">
      <c r="A94" s="14"/>
      <c r="B94" s="19"/>
      <c r="C94" s="5" t="s">
        <v>35</v>
      </c>
      <c r="D94" s="18" t="str">
        <f>[1]Configuration!D37</f>
        <v>Not Support</v>
      </c>
      <c r="E94" s="5" t="str">
        <f>IF([1]Configuration!D37="Support",IF([1]Configuration!D34="Video",[1]Configuration!G4,""),"")</f>
        <v/>
      </c>
    </row>
    <row r="95" spans="1:5">
      <c r="A95" s="14"/>
      <c r="B95" s="19"/>
      <c r="C95" s="5" t="s">
        <v>36</v>
      </c>
      <c r="D95" s="18" t="str">
        <f>[1]Configuration!D36</f>
        <v>Not Support</v>
      </c>
      <c r="E95" s="20"/>
    </row>
    <row r="96" spans="1:5">
      <c r="A96" s="14"/>
      <c r="B96" s="19"/>
      <c r="C96" s="5" t="s">
        <v>37</v>
      </c>
      <c r="D96" s="18" t="str">
        <f>IF([1]Configuration!D34="Not Used","",IF(OR([1]Configuration!D34="Video",[1]Configuration!D34="Simple"),"Support","Not Support"))</f>
        <v>Not Support</v>
      </c>
      <c r="E96" s="5"/>
    </row>
    <row r="97" spans="1:5">
      <c r="A97" s="14"/>
      <c r="B97" s="19"/>
      <c r="C97" s="5" t="s">
        <v>38</v>
      </c>
      <c r="D97" s="18" t="str">
        <f>IF([1]Configuration!D34="Not Used","","Support")</f>
        <v>Support</v>
      </c>
      <c r="E97" s="5"/>
    </row>
    <row r="98" spans="1:5">
      <c r="A98" s="14"/>
      <c r="B98" s="19" t="s">
        <v>68</v>
      </c>
      <c r="C98" s="5" t="s">
        <v>24</v>
      </c>
      <c r="D98" s="18" t="str">
        <f>[1]Configuration!D38</f>
        <v>Graphic</v>
      </c>
      <c r="E98" s="5"/>
    </row>
    <row r="99" spans="1:5" ht="25.5">
      <c r="A99" s="14"/>
      <c r="B99" s="19"/>
      <c r="C99" s="5" t="s">
        <v>25</v>
      </c>
      <c r="D99" s="18" t="str">
        <f>IF([1]Configuration!D38="Not Used","",IF([1]Configuration!D38="Video","YUV+RGB format;",IF([1]Configuration!D38="Graphic","RGB format only;",IF([1]Configuration!D38="Simple","Linear YUV+RGB format;","ARGB8"))))</f>
        <v>RGB format only;</v>
      </c>
      <c r="E99" s="5"/>
    </row>
    <row r="100" spans="1:5">
      <c r="A100" s="14"/>
      <c r="B100" s="19"/>
      <c r="C100" s="5" t="s">
        <v>26</v>
      </c>
      <c r="D100" s="18" t="str">
        <f>IF([1]Configuration!D38="Not Used","",IF(OR([1]Configuration!D38="Simple",[1]Configuration!D38="Cursor"),"Linear","Tile&amp;Linear"))</f>
        <v>Tile&amp;Linear</v>
      </c>
      <c r="E100" s="5"/>
    </row>
    <row r="101" spans="1:5">
      <c r="A101" s="14"/>
      <c r="B101" s="19"/>
      <c r="C101" s="5" t="s">
        <v>11</v>
      </c>
      <c r="D101" s="18" t="str">
        <f>[1]Configuration!D39</f>
        <v>Support</v>
      </c>
      <c r="E101" s="5"/>
    </row>
    <row r="102" spans="1:5">
      <c r="A102" s="14"/>
      <c r="B102" s="19"/>
      <c r="C102" s="5" t="s">
        <v>27</v>
      </c>
      <c r="D102" s="18" t="str">
        <f>IF([1]Configuration!D38="Not Used","",IF([1]Configuration!D38="Cursor","256x256","4096x2160"))</f>
        <v>4096x2160</v>
      </c>
      <c r="E102" s="5"/>
    </row>
    <row r="103" spans="1:5">
      <c r="A103" s="14"/>
      <c r="B103" s="19"/>
      <c r="C103" s="5" t="s">
        <v>28</v>
      </c>
      <c r="D103" s="18" t="str">
        <f>IF([1]Configuration!D38="Not Used","",IF(OR([1]Configuration!D38="Video",[1]Configuration!D38="Graphic"),"Support","Not Support"))</f>
        <v>Support</v>
      </c>
      <c r="E103" s="5" t="s">
        <v>29</v>
      </c>
    </row>
    <row r="104" spans="1:5">
      <c r="A104" s="14"/>
      <c r="B104" s="19"/>
      <c r="C104" s="5" t="s">
        <v>30</v>
      </c>
      <c r="D104" s="18" t="str">
        <f>IF([1]Configuration!D38="Not Used","",IF([1]Configuration!D38="Cursor","Not Support","Support"))</f>
        <v>Support</v>
      </c>
      <c r="E104" s="5" t="s">
        <v>31</v>
      </c>
    </row>
    <row r="105" spans="1:5">
      <c r="A105" s="14"/>
      <c r="B105" s="19"/>
      <c r="C105" s="5" t="s">
        <v>32</v>
      </c>
      <c r="D105" s="18" t="str">
        <f>IF([1]Configuration!D38="Not Used","","Support")</f>
        <v>Support</v>
      </c>
      <c r="E105" s="5"/>
    </row>
    <row r="106" spans="1:5">
      <c r="A106" s="14"/>
      <c r="B106" s="19"/>
      <c r="C106" s="5" t="s">
        <v>33</v>
      </c>
      <c r="D106" s="18" t="str">
        <f>IF([1]Configuration!D38="Not Used","","Support")</f>
        <v>Support</v>
      </c>
      <c r="E106" s="5"/>
    </row>
    <row r="107" spans="1:5">
      <c r="A107" s="14"/>
      <c r="B107" s="19"/>
      <c r="C107" s="5" t="s">
        <v>34</v>
      </c>
      <c r="D107" s="18" t="str">
        <f>IF([1]Configuration!D38="Not Used","","Support")</f>
        <v>Support</v>
      </c>
      <c r="E107" s="5"/>
    </row>
    <row r="108" spans="1:5">
      <c r="A108" s="14"/>
      <c r="B108" s="19"/>
      <c r="C108" s="5" t="s">
        <v>35</v>
      </c>
      <c r="D108" s="18" t="str">
        <f>[1]Configuration!D41</f>
        <v>Not Support</v>
      </c>
      <c r="E108" s="5" t="str">
        <f>IF([1]Configuration!D41="Support",IF([1]Configuration!D38="Video",[1]Configuration!G4,""),"")</f>
        <v/>
      </c>
    </row>
    <row r="109" spans="1:5">
      <c r="A109" s="14"/>
      <c r="B109" s="19"/>
      <c r="C109" s="5" t="s">
        <v>36</v>
      </c>
      <c r="D109" s="18" t="str">
        <f>[1]Configuration!D40</f>
        <v>Not Support</v>
      </c>
      <c r="E109" s="20"/>
    </row>
    <row r="110" spans="1:5">
      <c r="A110" s="14"/>
      <c r="B110" s="19"/>
      <c r="C110" s="5" t="s">
        <v>37</v>
      </c>
      <c r="D110" s="18" t="str">
        <f>IF([1]Configuration!D38="Not Used","",IF(OR([1]Configuration!D38="Video",[1]Configuration!D38="Simple"),"Support","Not Support"))</f>
        <v>Not Support</v>
      </c>
      <c r="E110" s="5"/>
    </row>
    <row r="111" spans="1:5">
      <c r="A111" s="14"/>
      <c r="B111" s="19"/>
      <c r="C111" s="5" t="s">
        <v>38</v>
      </c>
      <c r="D111" s="18" t="str">
        <f>IF([1]Configuration!D38="Not Used","","Support")</f>
        <v>Support</v>
      </c>
      <c r="E111" s="5"/>
    </row>
    <row r="112" spans="1:5">
      <c r="A112" s="14"/>
      <c r="B112" s="19" t="s">
        <v>69</v>
      </c>
      <c r="C112" s="5" t="s">
        <v>24</v>
      </c>
      <c r="D112" s="18" t="str">
        <f>[1]Configuration!D42</f>
        <v>Graphic</v>
      </c>
      <c r="E112" s="5"/>
    </row>
    <row r="113" spans="1:5" ht="25.5">
      <c r="A113" s="14"/>
      <c r="B113" s="19"/>
      <c r="C113" s="5" t="s">
        <v>25</v>
      </c>
      <c r="D113" s="18" t="str">
        <f>IF([1]Configuration!D42="Not Used","",IF([1]Configuration!D42="Video","YUV+RGB format;",IF([1]Configuration!D42="Graphic","RGB format only;",IF([1]Configuration!D42="Simple","Linear YUV+RGB format;","ARGB8"))))</f>
        <v>RGB format only;</v>
      </c>
      <c r="E113" s="5"/>
    </row>
    <row r="114" spans="1:5">
      <c r="A114" s="14"/>
      <c r="B114" s="19"/>
      <c r="C114" s="5" t="s">
        <v>26</v>
      </c>
      <c r="D114" s="18" t="str">
        <f>IF([1]Configuration!D42="Not Used","",IF(OR([1]Configuration!D42="Simple",[1]Configuration!D42="Cursor"),"Linear","Tile&amp;Linear"))</f>
        <v>Tile&amp;Linear</v>
      </c>
      <c r="E114" s="5"/>
    </row>
    <row r="115" spans="1:5">
      <c r="A115" s="14"/>
      <c r="B115" s="19"/>
      <c r="C115" s="5" t="s">
        <v>11</v>
      </c>
      <c r="D115" s="18" t="str">
        <f>[1]Configuration!D43</f>
        <v>Support</v>
      </c>
      <c r="E115" s="5"/>
    </row>
    <row r="116" spans="1:5">
      <c r="A116" s="14"/>
      <c r="B116" s="19"/>
      <c r="C116" s="5" t="s">
        <v>27</v>
      </c>
      <c r="D116" s="18" t="str">
        <f>IF([1]Configuration!D42="Not Used","",IF([1]Configuration!D42="Cursor","256x256","4096x2160"))</f>
        <v>4096x2160</v>
      </c>
      <c r="E116" s="5"/>
    </row>
    <row r="117" spans="1:5">
      <c r="A117" s="14"/>
      <c r="B117" s="19"/>
      <c r="C117" s="5" t="s">
        <v>28</v>
      </c>
      <c r="D117" s="18" t="str">
        <f>IF([1]Configuration!D42="Not Used","",IF(OR([1]Configuration!D42="Video",[1]Configuration!D42="Graphic"),"Support","Not Support"))</f>
        <v>Support</v>
      </c>
      <c r="E117" s="5" t="s">
        <v>29</v>
      </c>
    </row>
    <row r="118" spans="1:5">
      <c r="A118" s="14"/>
      <c r="B118" s="19"/>
      <c r="C118" s="5" t="s">
        <v>30</v>
      </c>
      <c r="D118" s="18" t="str">
        <f>IF([1]Configuration!D42="Not Used","",IF([1]Configuration!D42="Cursor","Not Support","Support"))</f>
        <v>Support</v>
      </c>
      <c r="E118" s="5" t="s">
        <v>31</v>
      </c>
    </row>
    <row r="119" spans="1:5">
      <c r="A119" s="14"/>
      <c r="B119" s="19"/>
      <c r="C119" s="5" t="s">
        <v>32</v>
      </c>
      <c r="D119" s="18" t="str">
        <f>IF([1]Configuration!D42="Not Used","","Support")</f>
        <v>Support</v>
      </c>
      <c r="E119" s="5"/>
    </row>
    <row r="120" spans="1:5">
      <c r="A120" s="14"/>
      <c r="B120" s="19"/>
      <c r="C120" s="5" t="s">
        <v>33</v>
      </c>
      <c r="D120" s="18" t="str">
        <f>IF([1]Configuration!D42="Not Used","","Support")</f>
        <v>Support</v>
      </c>
      <c r="E120" s="5"/>
    </row>
    <row r="121" spans="1:5">
      <c r="A121" s="14"/>
      <c r="B121" s="19"/>
      <c r="C121" s="5" t="s">
        <v>34</v>
      </c>
      <c r="D121" s="18" t="str">
        <f>IF([1]Configuration!D42="Not Used","","Support")</f>
        <v>Support</v>
      </c>
      <c r="E121" s="5"/>
    </row>
    <row r="122" spans="1:5">
      <c r="A122" s="14"/>
      <c r="B122" s="19"/>
      <c r="C122" s="5" t="s">
        <v>35</v>
      </c>
      <c r="D122" s="18" t="str">
        <f>[1]Configuration!D45</f>
        <v>Not Support</v>
      </c>
      <c r="E122" s="5" t="str">
        <f>IF([1]Configuration!D45="Support",IF([1]Configuration!D42="Video",[1]Configuration!G4,""),"")</f>
        <v/>
      </c>
    </row>
    <row r="123" spans="1:5">
      <c r="A123" s="14"/>
      <c r="B123" s="19"/>
      <c r="C123" s="5" t="s">
        <v>36</v>
      </c>
      <c r="D123" s="18" t="str">
        <f>[1]Configuration!D44</f>
        <v>Not Support</v>
      </c>
      <c r="E123" s="20"/>
    </row>
    <row r="124" spans="1:5">
      <c r="A124" s="14"/>
      <c r="B124" s="19"/>
      <c r="C124" s="5" t="s">
        <v>37</v>
      </c>
      <c r="D124" s="18" t="str">
        <f>IF([1]Configuration!D42="Not Used","",IF(OR([1]Configuration!D42="Video",[1]Configuration!D42="Simple"),"Support","Not Support"))</f>
        <v>Not Support</v>
      </c>
      <c r="E124" s="5"/>
    </row>
    <row r="125" spans="1:5">
      <c r="A125" s="14"/>
      <c r="B125" s="19"/>
      <c r="C125" s="5" t="s">
        <v>38</v>
      </c>
      <c r="D125" s="18" t="str">
        <f>IF([1]Configuration!D42="Not Used","","Support")</f>
        <v>Support</v>
      </c>
      <c r="E125" s="5"/>
    </row>
    <row r="126" spans="1:5">
      <c r="A126" s="14"/>
      <c r="B126" s="19" t="s">
        <v>64</v>
      </c>
      <c r="C126" s="5" t="s">
        <v>24</v>
      </c>
      <c r="D126" s="18" t="str">
        <f>[1]Configuration!D46</f>
        <v>Simple</v>
      </c>
      <c r="E126" s="5"/>
    </row>
    <row r="127" spans="1:5" ht="38.25">
      <c r="A127" s="14"/>
      <c r="B127" s="19"/>
      <c r="C127" s="5" t="s">
        <v>25</v>
      </c>
      <c r="D127" s="18" t="str">
        <f>IF([1]Configuration!D46="Not Used","",IF([1]Configuration!D46="Video","YUV+RGB format;",IF([1]Configuration!D46="Graphic","RGB format only;",IF([1]Configuration!D46="Simple","Linear YUV+RGB format;","ARGB8"))))</f>
        <v>Linear YUV+RGB format;</v>
      </c>
      <c r="E127" s="5"/>
    </row>
    <row r="128" spans="1:5">
      <c r="A128" s="14"/>
      <c r="B128" s="19"/>
      <c r="C128" s="5" t="s">
        <v>26</v>
      </c>
      <c r="D128" s="18" t="str">
        <f>IF([1]Configuration!D46="Not Used","",IF(OR([1]Configuration!D46="Simple",[1]Configuration!D46="Cursor"),"Linear","Tile&amp;Linear"))</f>
        <v>Linear</v>
      </c>
      <c r="E128" s="5"/>
    </row>
    <row r="129" spans="1:5">
      <c r="A129" s="14"/>
      <c r="B129" s="19"/>
      <c r="C129" s="5" t="s">
        <v>11</v>
      </c>
      <c r="D129" s="18" t="str">
        <f>[1]Configuration!D47</f>
        <v>Not Support</v>
      </c>
      <c r="E129" s="5"/>
    </row>
    <row r="130" spans="1:5">
      <c r="A130" s="14"/>
      <c r="B130" s="19"/>
      <c r="C130" s="5" t="s">
        <v>27</v>
      </c>
      <c r="D130" s="18" t="str">
        <f>IF([1]Configuration!D46="Not Used","",IF([1]Configuration!D46="Cursor","256x256","4096x2160"))</f>
        <v>4096x2160</v>
      </c>
      <c r="E130" s="5"/>
    </row>
    <row r="131" spans="1:5">
      <c r="A131" s="14"/>
      <c r="B131" s="19"/>
      <c r="C131" s="5" t="s">
        <v>28</v>
      </c>
      <c r="D131" s="18" t="str">
        <f>IF([1]Configuration!D46="Not Used","",IF(OR([1]Configuration!D46="Video",[1]Configuration!D46="Graphic"),"Support","Not Support"))</f>
        <v>Not Support</v>
      </c>
      <c r="E131" s="5" t="s">
        <v>29</v>
      </c>
    </row>
    <row r="132" spans="1:5">
      <c r="A132" s="14"/>
      <c r="B132" s="19"/>
      <c r="C132" s="5" t="s">
        <v>30</v>
      </c>
      <c r="D132" s="18" t="str">
        <f>IF([1]Configuration!D46="Not Used","",IF([1]Configuration!D46="Cursor","Not Support","Support"))</f>
        <v>Support</v>
      </c>
      <c r="E132" s="5" t="s">
        <v>31</v>
      </c>
    </row>
    <row r="133" spans="1:5">
      <c r="A133" s="14"/>
      <c r="B133" s="19"/>
      <c r="C133" s="5" t="s">
        <v>32</v>
      </c>
      <c r="D133" s="18" t="str">
        <f>IF([1]Configuration!D46="Not Used","","Support")</f>
        <v>Support</v>
      </c>
      <c r="E133" s="5"/>
    </row>
    <row r="134" spans="1:5">
      <c r="A134" s="14"/>
      <c r="B134" s="19"/>
      <c r="C134" s="5" t="s">
        <v>33</v>
      </c>
      <c r="D134" s="18" t="str">
        <f>IF([1]Configuration!D46="Not Used","","Support")</f>
        <v>Support</v>
      </c>
      <c r="E134" s="5"/>
    </row>
    <row r="135" spans="1:5">
      <c r="A135" s="14"/>
      <c r="B135" s="19"/>
      <c r="C135" s="5" t="s">
        <v>34</v>
      </c>
      <c r="D135" s="18" t="str">
        <f>IF([1]Configuration!D46="Not Used","","Support")</f>
        <v>Support</v>
      </c>
      <c r="E135" s="5"/>
    </row>
    <row r="136" spans="1:5">
      <c r="A136" s="14"/>
      <c r="B136" s="19"/>
      <c r="C136" s="5" t="s">
        <v>35</v>
      </c>
      <c r="D136" s="18" t="str">
        <f>[1]Configuration!D49</f>
        <v>Not Support</v>
      </c>
      <c r="E136" s="5" t="str">
        <f>IF([1]Configuration!D49="Support",IF([1]Configuration!D46="Video",[1]Configuration!G4,""),"")</f>
        <v/>
      </c>
    </row>
    <row r="137" spans="1:5">
      <c r="A137" s="14"/>
      <c r="B137" s="19"/>
      <c r="C137" s="5" t="s">
        <v>36</v>
      </c>
      <c r="D137" s="18" t="str">
        <f>[1]Configuration!D48</f>
        <v>Not Support</v>
      </c>
      <c r="E137" s="20"/>
    </row>
    <row r="138" spans="1:5">
      <c r="A138" s="14"/>
      <c r="B138" s="19"/>
      <c r="C138" s="5" t="s">
        <v>37</v>
      </c>
      <c r="D138" s="18" t="str">
        <f>IF([1]Configuration!D46="Not Used","",IF(OR([1]Configuration!D46="Video",[1]Configuration!D46="Simple"),"Support","Not Support"))</f>
        <v>Support</v>
      </c>
      <c r="E138" s="5"/>
    </row>
    <row r="139" spans="1:5">
      <c r="A139" s="14"/>
      <c r="B139" s="19"/>
      <c r="C139" s="5" t="s">
        <v>38</v>
      </c>
      <c r="D139" s="18" t="str">
        <f>IF([1]Configuration!D46="Not Used","","Support")</f>
        <v>Support</v>
      </c>
      <c r="E139" s="5"/>
    </row>
    <row r="140" spans="1:5">
      <c r="A140" s="14"/>
      <c r="B140" s="19" t="s">
        <v>62</v>
      </c>
      <c r="C140" s="5" t="s">
        <v>24</v>
      </c>
      <c r="D140" s="18" t="str">
        <f>[1]Configuration!D50</f>
        <v>Simple</v>
      </c>
      <c r="E140" s="5"/>
    </row>
    <row r="141" spans="1:5" ht="38.25">
      <c r="A141" s="14"/>
      <c r="B141" s="19"/>
      <c r="C141" s="5" t="s">
        <v>25</v>
      </c>
      <c r="D141" s="18" t="str">
        <f>IF([1]Configuration!D50="Not Used","",IF([1]Configuration!D50="Video","YUV+RGB format;",IF([1]Configuration!D50="Graphic","RGB format only;",IF([1]Configuration!D50="Simple","Linear YUV+RGB format;","ARGB8"))))</f>
        <v>Linear YUV+RGB format;</v>
      </c>
      <c r="E141" s="5"/>
    </row>
    <row r="142" spans="1:5">
      <c r="A142" s="14"/>
      <c r="B142" s="19"/>
      <c r="C142" s="5" t="s">
        <v>26</v>
      </c>
      <c r="D142" s="18" t="str">
        <f>IF([1]Configuration!D50="Not Used","",IF(OR([1]Configuration!D50="Simple",[1]Configuration!D50="Cursor"),"Linear","Tile&amp;Linear"))</f>
        <v>Linear</v>
      </c>
      <c r="E142" s="5"/>
    </row>
    <row r="143" spans="1:5">
      <c r="A143" s="14"/>
      <c r="B143" s="19"/>
      <c r="C143" s="5" t="s">
        <v>11</v>
      </c>
      <c r="D143" s="18" t="str">
        <f>[1]Configuration!D51</f>
        <v>Not Support</v>
      </c>
      <c r="E143" s="5"/>
    </row>
    <row r="144" spans="1:5">
      <c r="A144" s="14"/>
      <c r="B144" s="19"/>
      <c r="C144" s="5" t="s">
        <v>27</v>
      </c>
      <c r="D144" s="18" t="str">
        <f>IF([1]Configuration!D50="Not Used","",IF([1]Configuration!D50="Cursor","256x256","4096x2160"))</f>
        <v>4096x2160</v>
      </c>
      <c r="E144" s="5"/>
    </row>
    <row r="145" spans="1:5">
      <c r="A145" s="14"/>
      <c r="B145" s="19"/>
      <c r="C145" s="5" t="s">
        <v>28</v>
      </c>
      <c r="D145" s="18" t="str">
        <f>IF([1]Configuration!D50="Not Used","",IF(OR([1]Configuration!D50="Video",[1]Configuration!D50="Graphic"),"Support","Not Support"))</f>
        <v>Not Support</v>
      </c>
      <c r="E145" s="5" t="s">
        <v>29</v>
      </c>
    </row>
    <row r="146" spans="1:5">
      <c r="A146" s="14"/>
      <c r="B146" s="19"/>
      <c r="C146" s="5" t="s">
        <v>30</v>
      </c>
      <c r="D146" s="18" t="str">
        <f>IF([1]Configuration!D50="Not Used","",IF([1]Configuration!D50="Cursor","Not Support","Support"))</f>
        <v>Support</v>
      </c>
      <c r="E146" s="5" t="s">
        <v>31</v>
      </c>
    </row>
    <row r="147" spans="1:5">
      <c r="A147" s="14"/>
      <c r="B147" s="19"/>
      <c r="C147" s="5" t="s">
        <v>32</v>
      </c>
      <c r="D147" s="18" t="str">
        <f>IF([1]Configuration!D50="Not Used","","Support")</f>
        <v>Support</v>
      </c>
      <c r="E147" s="5"/>
    </row>
    <row r="148" spans="1:5">
      <c r="A148" s="14"/>
      <c r="B148" s="19"/>
      <c r="C148" s="5" t="s">
        <v>33</v>
      </c>
      <c r="D148" s="18" t="str">
        <f>IF([1]Configuration!D50="Not Used","","Support")</f>
        <v>Support</v>
      </c>
      <c r="E148" s="5"/>
    </row>
    <row r="149" spans="1:5">
      <c r="A149" s="14"/>
      <c r="B149" s="19"/>
      <c r="C149" s="5" t="s">
        <v>34</v>
      </c>
      <c r="D149" s="18" t="str">
        <f>IF([1]Configuration!D50="Not Used","","Support")</f>
        <v>Support</v>
      </c>
      <c r="E149" s="5"/>
    </row>
    <row r="150" spans="1:5">
      <c r="A150" s="14"/>
      <c r="B150" s="19"/>
      <c r="C150" s="5" t="s">
        <v>35</v>
      </c>
      <c r="D150" s="18" t="str">
        <f>[1]Configuration!D53</f>
        <v>Not Support</v>
      </c>
      <c r="E150" s="5" t="str">
        <f>IF([1]Configuration!D53="Support",IF([1]Configuration!D50="Video",[1]Configuration!G4,""),"")</f>
        <v/>
      </c>
    </row>
    <row r="151" spans="1:5">
      <c r="A151" s="14"/>
      <c r="B151" s="19"/>
      <c r="C151" s="5" t="s">
        <v>36</v>
      </c>
      <c r="D151" s="18" t="str">
        <f>[1]Configuration!D52</f>
        <v>Not Support</v>
      </c>
      <c r="E151" s="20"/>
    </row>
    <row r="152" spans="1:5">
      <c r="A152" s="14"/>
      <c r="B152" s="19"/>
      <c r="C152" s="5" t="s">
        <v>37</v>
      </c>
      <c r="D152" s="18" t="str">
        <f>IF([1]Configuration!D50="Not Used","",IF(OR([1]Configuration!D50="Video",[1]Configuration!D50="Simple"),"Support","Not Support"))</f>
        <v>Support</v>
      </c>
      <c r="E152" s="5"/>
    </row>
    <row r="153" spans="1:5">
      <c r="A153" s="14"/>
      <c r="B153" s="19"/>
      <c r="C153" s="5" t="s">
        <v>38</v>
      </c>
      <c r="D153" s="18" t="str">
        <f>IF([1]Configuration!D50="Not Used","","Support")</f>
        <v>Support</v>
      </c>
      <c r="E153" s="5"/>
    </row>
    <row r="154" spans="1:5">
      <c r="A154" s="14"/>
      <c r="B154" s="19" t="s">
        <v>70</v>
      </c>
      <c r="C154" s="5" t="s">
        <v>24</v>
      </c>
      <c r="D154" s="18" t="str">
        <f>[1]Configuration!D54</f>
        <v>Simple</v>
      </c>
      <c r="E154" s="5"/>
    </row>
    <row r="155" spans="1:5" ht="38.25">
      <c r="A155" s="14"/>
      <c r="B155" s="19"/>
      <c r="C155" s="5" t="s">
        <v>25</v>
      </c>
      <c r="D155" s="18" t="str">
        <f>IF([1]Configuration!D54="Not Used","",IF([1]Configuration!D54="Video","YUV+RGB format;",IF([1]Configuration!D54="Graphic","RGB format only;",IF([1]Configuration!D54="Simple","Linear YUV+RGB format;","ARGB8"))))</f>
        <v>Linear YUV+RGB format;</v>
      </c>
      <c r="E155" s="5"/>
    </row>
    <row r="156" spans="1:5">
      <c r="A156" s="14"/>
      <c r="B156" s="19"/>
      <c r="C156" s="5" t="s">
        <v>26</v>
      </c>
      <c r="D156" s="18" t="str">
        <f>IF([1]Configuration!D54="Not Used","",IF(OR([1]Configuration!D54="Simple",[1]Configuration!D54="Cursor"),"Linear","Tile&amp;Linear"))</f>
        <v>Linear</v>
      </c>
      <c r="E156" s="5"/>
    </row>
    <row r="157" spans="1:5">
      <c r="A157" s="14"/>
      <c r="B157" s="19"/>
      <c r="C157" s="5" t="s">
        <v>11</v>
      </c>
      <c r="D157" s="18" t="str">
        <f>[1]Configuration!D55</f>
        <v>Not Support</v>
      </c>
      <c r="E157" s="5"/>
    </row>
    <row r="158" spans="1:5">
      <c r="A158" s="14"/>
      <c r="B158" s="19"/>
      <c r="C158" s="5" t="s">
        <v>27</v>
      </c>
      <c r="D158" s="18" t="str">
        <f>IF([1]Configuration!D54="Not Used","",IF([1]Configuration!D54="Cursor","256x256","4096x2160"))</f>
        <v>4096x2160</v>
      </c>
      <c r="E158" s="5"/>
    </row>
    <row r="159" spans="1:5">
      <c r="A159" s="14"/>
      <c r="B159" s="19"/>
      <c r="C159" s="5" t="s">
        <v>28</v>
      </c>
      <c r="D159" s="18" t="str">
        <f>IF([1]Configuration!D54="Not Used","",IF(OR([1]Configuration!D54="Video",[1]Configuration!D54="Graphic"),"Support","Not Support"))</f>
        <v>Not Support</v>
      </c>
      <c r="E159" s="5" t="s">
        <v>29</v>
      </c>
    </row>
    <row r="160" spans="1:5">
      <c r="A160" s="14"/>
      <c r="B160" s="19"/>
      <c r="C160" s="5" t="s">
        <v>30</v>
      </c>
      <c r="D160" s="18" t="str">
        <f>IF([1]Configuration!D54="Not Used","",IF([1]Configuration!D54="Cursor","Not Support","Support"))</f>
        <v>Support</v>
      </c>
      <c r="E160" s="5" t="s">
        <v>31</v>
      </c>
    </row>
    <row r="161" spans="1:5">
      <c r="A161" s="14"/>
      <c r="B161" s="19"/>
      <c r="C161" s="5" t="s">
        <v>32</v>
      </c>
      <c r="D161" s="18" t="str">
        <f>IF([1]Configuration!D54="Not Used","","Support")</f>
        <v>Support</v>
      </c>
      <c r="E161" s="5"/>
    </row>
    <row r="162" spans="1:5">
      <c r="A162" s="14"/>
      <c r="B162" s="19"/>
      <c r="C162" s="5" t="s">
        <v>33</v>
      </c>
      <c r="D162" s="18" t="str">
        <f>IF([1]Configuration!D54="Not Used","","Support")</f>
        <v>Support</v>
      </c>
      <c r="E162" s="5"/>
    </row>
    <row r="163" spans="1:5">
      <c r="A163" s="14"/>
      <c r="B163" s="19"/>
      <c r="C163" s="5" t="s">
        <v>34</v>
      </c>
      <c r="D163" s="18" t="str">
        <f>IF([1]Configuration!D54="Not Used","","Support")</f>
        <v>Support</v>
      </c>
      <c r="E163" s="5"/>
    </row>
    <row r="164" spans="1:5">
      <c r="A164" s="14"/>
      <c r="B164" s="19"/>
      <c r="C164" s="5" t="s">
        <v>35</v>
      </c>
      <c r="D164" s="18" t="str">
        <f>[1]Configuration!D57</f>
        <v>Not Support</v>
      </c>
      <c r="E164" s="5" t="str">
        <f>IF([1]Configuration!D57="Support",IF([1]Configuration!D54="Video",[1]Configuration!G4,""),"")</f>
        <v/>
      </c>
    </row>
    <row r="165" spans="1:5">
      <c r="A165" s="14"/>
      <c r="B165" s="19"/>
      <c r="C165" s="5" t="s">
        <v>36</v>
      </c>
      <c r="D165" s="18" t="str">
        <f>[1]Configuration!D56</f>
        <v>Not Support</v>
      </c>
      <c r="E165" s="20"/>
    </row>
    <row r="166" spans="1:5">
      <c r="A166" s="14"/>
      <c r="B166" s="19"/>
      <c r="C166" s="5" t="s">
        <v>37</v>
      </c>
      <c r="D166" s="18" t="str">
        <f>IF([1]Configuration!D54="Not Used","",IF(OR([1]Configuration!D54="Video",[1]Configuration!D54="Simple"),"Support","Not Support"))</f>
        <v>Support</v>
      </c>
      <c r="E166" s="5"/>
    </row>
    <row r="167" spans="1:5">
      <c r="A167" s="14"/>
      <c r="B167" s="19"/>
      <c r="C167" s="5" t="s">
        <v>38</v>
      </c>
      <c r="D167" s="18" t="str">
        <f>IF([1]Configuration!D54="Not Used","","Support")</f>
        <v>Support</v>
      </c>
      <c r="E167" s="5"/>
    </row>
    <row r="168" spans="1:5">
      <c r="A168" s="14"/>
      <c r="B168" s="19" t="s">
        <v>40</v>
      </c>
      <c r="C168" s="5" t="s">
        <v>24</v>
      </c>
      <c r="D168" s="18" t="str">
        <f>[1]Configuration!D58</f>
        <v>Simple</v>
      </c>
      <c r="E168" s="5"/>
    </row>
    <row r="169" spans="1:5" ht="38.25">
      <c r="A169" s="14"/>
      <c r="B169" s="19"/>
      <c r="C169" s="5" t="s">
        <v>25</v>
      </c>
      <c r="D169" s="18" t="str">
        <f>IF([1]Configuration!D58="Not Used","",IF([1]Configuration!D58="Video","YUV+RGB format;",IF([1]Configuration!D58="Graphic","RGB format only;",IF([1]Configuration!D58="Simple","Linear YUV+RGB format;","ARGB8"))))</f>
        <v>Linear YUV+RGB format;</v>
      </c>
      <c r="E169" s="5"/>
    </row>
    <row r="170" spans="1:5">
      <c r="A170" s="14"/>
      <c r="B170" s="19"/>
      <c r="C170" s="5" t="s">
        <v>26</v>
      </c>
      <c r="D170" s="18" t="str">
        <f>IF([1]Configuration!D58="Not Used","",IF(OR([1]Configuration!D58="Simple",[1]Configuration!D58="Cursor"),"Linear","Tile&amp;Linear"))</f>
        <v>Linear</v>
      </c>
      <c r="E170" s="5"/>
    </row>
    <row r="171" spans="1:5">
      <c r="A171" s="14"/>
      <c r="B171" s="19"/>
      <c r="C171" s="5" t="s">
        <v>11</v>
      </c>
      <c r="D171" s="18" t="str">
        <f>[1]Configuration!D59</f>
        <v>Not Support</v>
      </c>
      <c r="E171" s="5"/>
    </row>
    <row r="172" spans="1:5">
      <c r="A172" s="14"/>
      <c r="B172" s="19"/>
      <c r="C172" s="5" t="s">
        <v>27</v>
      </c>
      <c r="D172" s="18" t="str">
        <f>IF([1]Configuration!D58="Not Used","",IF([1]Configuration!D58="Cursor","256x256","4096x2160"))</f>
        <v>4096x2160</v>
      </c>
      <c r="E172" s="5"/>
    </row>
    <row r="173" spans="1:5">
      <c r="A173" s="14"/>
      <c r="B173" s="19"/>
      <c r="C173" s="5" t="s">
        <v>28</v>
      </c>
      <c r="D173" s="18" t="str">
        <f>IF([1]Configuration!D58="Not Used","",IF(OR([1]Configuration!D58="Video",[1]Configuration!D58="Graphic"),"Support","Not Support"))</f>
        <v>Not Support</v>
      </c>
      <c r="E173" s="5" t="s">
        <v>29</v>
      </c>
    </row>
    <row r="174" spans="1:5">
      <c r="A174" s="14"/>
      <c r="B174" s="19"/>
      <c r="C174" s="5" t="s">
        <v>30</v>
      </c>
      <c r="D174" s="18" t="str">
        <f>IF([1]Configuration!D58="Not Used","",IF([1]Configuration!D58="Cursor","Not Support","Support"))</f>
        <v>Support</v>
      </c>
      <c r="E174" s="5" t="s">
        <v>31</v>
      </c>
    </row>
    <row r="175" spans="1:5">
      <c r="A175" s="14"/>
      <c r="B175" s="19"/>
      <c r="C175" s="5" t="s">
        <v>32</v>
      </c>
      <c r="D175" s="18" t="str">
        <f>IF([1]Configuration!D58="Not Used","","Support")</f>
        <v>Support</v>
      </c>
      <c r="E175" s="5"/>
    </row>
    <row r="176" spans="1:5">
      <c r="A176" s="14"/>
      <c r="B176" s="19"/>
      <c r="C176" s="5" t="s">
        <v>33</v>
      </c>
      <c r="D176" s="18" t="str">
        <f>IF([1]Configuration!D58="Not Used","","Support")</f>
        <v>Support</v>
      </c>
      <c r="E176" s="5"/>
    </row>
    <row r="177" spans="1:5">
      <c r="A177" s="14"/>
      <c r="B177" s="19"/>
      <c r="C177" s="5" t="s">
        <v>34</v>
      </c>
      <c r="D177" s="18" t="str">
        <f>IF([1]Configuration!D58="Not Used","","Support")</f>
        <v>Support</v>
      </c>
      <c r="E177" s="5"/>
    </row>
    <row r="178" spans="1:5">
      <c r="A178" s="14"/>
      <c r="B178" s="19"/>
      <c r="C178" s="5" t="s">
        <v>35</v>
      </c>
      <c r="D178" s="18" t="str">
        <f>[1]Configuration!D61</f>
        <v>Not Support</v>
      </c>
      <c r="E178" s="5" t="str">
        <f>IF([1]Configuration!D61="Support",IF([1]Configuration!D58="Video",[1]Configuration!G4,""),"")</f>
        <v/>
      </c>
    </row>
    <row r="179" spans="1:5">
      <c r="A179" s="14"/>
      <c r="B179" s="19"/>
      <c r="C179" s="5" t="s">
        <v>36</v>
      </c>
      <c r="D179" s="18" t="str">
        <f>[1]Configuration!D60</f>
        <v>Not Support</v>
      </c>
      <c r="E179" s="20"/>
    </row>
    <row r="180" spans="1:5">
      <c r="A180" s="14"/>
      <c r="B180" s="19"/>
      <c r="C180" s="5" t="s">
        <v>37</v>
      </c>
      <c r="D180" s="18" t="str">
        <f>IF([1]Configuration!D58="Not Used","",IF(OR([1]Configuration!D58="Video",[1]Configuration!D58="Simple"),"Support","Not Support"))</f>
        <v>Support</v>
      </c>
      <c r="E180" s="5"/>
    </row>
    <row r="181" spans="1:5">
      <c r="A181" s="14"/>
      <c r="B181" s="19"/>
      <c r="C181" s="5" t="s">
        <v>38</v>
      </c>
      <c r="D181" s="18" t="str">
        <f>IF([1]Configuration!D58="Not Used","","Support")</f>
        <v>Support</v>
      </c>
      <c r="E181" s="5"/>
    </row>
    <row r="182" spans="1:5">
      <c r="A182" s="21" t="s">
        <v>10</v>
      </c>
      <c r="B182" s="5" t="s">
        <v>41</v>
      </c>
      <c r="C182" s="5" t="s">
        <v>42</v>
      </c>
      <c r="D182" s="18">
        <f>SUM([1]Configuration!D4:D6)</f>
        <v>12</v>
      </c>
      <c r="E182" s="5"/>
    </row>
    <row r="183" spans="1:5">
      <c r="A183" s="22"/>
      <c r="B183" s="15" t="s">
        <v>43</v>
      </c>
      <c r="C183" s="5" t="s">
        <v>44</v>
      </c>
      <c r="D183" s="18" t="str">
        <f>[1]Configuration!D65</f>
        <v>Enable</v>
      </c>
      <c r="E183" s="5" t="s">
        <v>45</v>
      </c>
    </row>
    <row r="184" spans="1:5">
      <c r="A184" s="22"/>
      <c r="B184" s="15"/>
      <c r="C184" s="5" t="s">
        <v>46</v>
      </c>
      <c r="D184" s="18" t="str">
        <f>IF([1]Configuration!D65="Not Used","",[1]Configuration!D66)</f>
        <v>Support</v>
      </c>
      <c r="E184" s="5"/>
    </row>
    <row r="185" spans="1:5">
      <c r="A185" s="22"/>
      <c r="B185" s="15"/>
      <c r="C185" s="5" t="s">
        <v>47</v>
      </c>
      <c r="D185" s="18" t="str">
        <f>IF([1]Configuration!D65="Not Used","",[1]Configuration!D67)</f>
        <v>Not Support</v>
      </c>
      <c r="E185" s="5"/>
    </row>
    <row r="186" spans="1:5">
      <c r="A186" s="22"/>
      <c r="B186" s="15"/>
      <c r="C186" s="5" t="s">
        <v>48</v>
      </c>
      <c r="D186" s="18" t="str">
        <f>IF([1]Configuration!D65="Not Used","",[1]Configuration!D68)</f>
        <v>Support</v>
      </c>
      <c r="E186" s="5"/>
    </row>
    <row r="187" spans="1:5">
      <c r="A187" s="22"/>
      <c r="B187" s="15"/>
      <c r="C187" s="5" t="s">
        <v>49</v>
      </c>
      <c r="D187" s="18" t="str">
        <f>IF([1]Configuration!D65="Not Used","",[1]Configuration!D69)</f>
        <v>Support</v>
      </c>
      <c r="E187" s="5"/>
    </row>
    <row r="188" spans="1:5">
      <c r="A188" s="22"/>
      <c r="B188" s="15"/>
      <c r="C188" s="5" t="s">
        <v>50</v>
      </c>
      <c r="D188" s="18" t="str">
        <f>IF([1]Configuration!D65="Not Used","",[1]Configuration!D70)</f>
        <v>Support</v>
      </c>
      <c r="E188" s="5" t="str">
        <f>IF([1]Configuration!D65="Not Used","",IF([1]Configuration!F10&lt;&gt;"",[1]Configuration!F10,""))</f>
        <v/>
      </c>
    </row>
    <row r="189" spans="1:5">
      <c r="A189" s="22"/>
      <c r="B189" s="15"/>
      <c r="C189" s="5" t="s">
        <v>51</v>
      </c>
      <c r="D189" s="18" t="str">
        <f>IF([1]Configuration!D65="Not Used","","Support")</f>
        <v>Support</v>
      </c>
      <c r="E189" s="5"/>
    </row>
    <row r="190" spans="1:5">
      <c r="A190" s="22"/>
      <c r="B190" s="15"/>
      <c r="C190" s="5" t="s">
        <v>33</v>
      </c>
      <c r="D190" s="18" t="str">
        <f>IF([1]Configuration!D65="Not Used","","Support")</f>
        <v>Support</v>
      </c>
      <c r="E190" s="5"/>
    </row>
    <row r="191" spans="1:5">
      <c r="A191" s="22"/>
      <c r="B191" s="15" t="s">
        <v>52</v>
      </c>
      <c r="C191" s="5" t="s">
        <v>44</v>
      </c>
      <c r="D191" s="18" t="str">
        <f>[1]Configuration!D71</f>
        <v>Enable</v>
      </c>
      <c r="E191" s="5" t="s">
        <v>45</v>
      </c>
    </row>
    <row r="192" spans="1:5">
      <c r="A192" s="22"/>
      <c r="B192" s="15"/>
      <c r="C192" s="5" t="s">
        <v>46</v>
      </c>
      <c r="D192" s="18" t="str">
        <f>IF([1]Configuration!D71="Not Used","",[1]Configuration!D72)</f>
        <v>Support</v>
      </c>
      <c r="E192" s="5"/>
    </row>
    <row r="193" spans="1:5">
      <c r="A193" s="22"/>
      <c r="B193" s="15"/>
      <c r="C193" s="5" t="s">
        <v>47</v>
      </c>
      <c r="D193" s="18" t="str">
        <f>IF([1]Configuration!D71="Not Used","",[1]Configuration!D73)</f>
        <v>Not Support</v>
      </c>
      <c r="E193" s="5"/>
    </row>
    <row r="194" spans="1:5">
      <c r="A194" s="22"/>
      <c r="B194" s="15"/>
      <c r="C194" s="5" t="s">
        <v>48</v>
      </c>
      <c r="D194" s="18" t="str">
        <f>IF([1]Configuration!D71="Not Used","",[1]Configuration!D74)</f>
        <v>Not Support</v>
      </c>
      <c r="E194" s="5"/>
    </row>
    <row r="195" spans="1:5">
      <c r="A195" s="22"/>
      <c r="B195" s="15"/>
      <c r="C195" s="5" t="s">
        <v>49</v>
      </c>
      <c r="D195" s="18" t="str">
        <f>IF([1]Configuration!D71="Not Used","",[1]Configuration!D75)</f>
        <v>Not Support</v>
      </c>
      <c r="E195" s="5"/>
    </row>
    <row r="196" spans="1:5">
      <c r="A196" s="22"/>
      <c r="B196" s="15"/>
      <c r="C196" s="5" t="s">
        <v>50</v>
      </c>
      <c r="D196" s="18" t="str">
        <f>IF([1]Configuration!D71="Not Used","",[1]Configuration!D76)</f>
        <v>Support</v>
      </c>
      <c r="E196" s="5" t="str">
        <f>IF([1]Configuration!D71="Not Used","",IF([1]Configuration!F10&lt;&gt;"",[1]Configuration!F10,""))</f>
        <v/>
      </c>
    </row>
    <row r="197" spans="1:5">
      <c r="A197" s="22"/>
      <c r="B197" s="15"/>
      <c r="C197" s="5" t="s">
        <v>51</v>
      </c>
      <c r="D197" s="18" t="str">
        <f>IF([1]Configuration!D71="Not Used","","Support")</f>
        <v>Support</v>
      </c>
      <c r="E197" s="5"/>
    </row>
    <row r="198" spans="1:5">
      <c r="A198" s="22"/>
      <c r="B198" s="15"/>
      <c r="C198" s="5" t="s">
        <v>33</v>
      </c>
      <c r="D198" s="18" t="str">
        <f>IF([1]Configuration!D71="Not Used","","Support")</f>
        <v>Support</v>
      </c>
      <c r="E198" s="5"/>
    </row>
    <row r="199" spans="1:5">
      <c r="A199" s="22"/>
      <c r="B199" s="15" t="s">
        <v>53</v>
      </c>
      <c r="C199" s="5" t="s">
        <v>44</v>
      </c>
      <c r="D199" s="18" t="str">
        <f>[1]Configuration!D77</f>
        <v>Enable</v>
      </c>
      <c r="E199" s="5" t="s">
        <v>45</v>
      </c>
    </row>
    <row r="200" spans="1:5">
      <c r="A200" s="22"/>
      <c r="B200" s="15"/>
      <c r="C200" s="5" t="s">
        <v>46</v>
      </c>
      <c r="D200" s="18" t="str">
        <f>IF([1]Configuration!D77="Not Used","",[1]Configuration!D78)</f>
        <v>Support</v>
      </c>
      <c r="E200" s="5"/>
    </row>
    <row r="201" spans="1:5">
      <c r="A201" s="22"/>
      <c r="B201" s="15"/>
      <c r="C201" s="5" t="s">
        <v>47</v>
      </c>
      <c r="D201" s="18" t="str">
        <f>IF([1]Configuration!D77="Not Used","",[1]Configuration!D79)</f>
        <v>Not Support</v>
      </c>
      <c r="E201" s="5"/>
    </row>
    <row r="202" spans="1:5">
      <c r="A202" s="22"/>
      <c r="B202" s="15"/>
      <c r="C202" s="5" t="s">
        <v>50</v>
      </c>
      <c r="D202" s="18" t="str">
        <f>IF([1]Configuration!D77="Not Used","",[1]Configuration!D80)</f>
        <v>Not Support</v>
      </c>
      <c r="E202" s="5" t="str">
        <f>IF([1]Configuration!D77="Not Used","",IF([1]Configuration!F10&lt;&gt;"",[1]Configuration!F10,""))</f>
        <v/>
      </c>
    </row>
    <row r="203" spans="1:5">
      <c r="A203" s="22"/>
      <c r="B203" s="15"/>
      <c r="C203" s="5" t="s">
        <v>51</v>
      </c>
      <c r="D203" s="18" t="str">
        <f>IF([1]Configuration!D77="Not Used","","Support")</f>
        <v>Support</v>
      </c>
      <c r="E203" s="5"/>
    </row>
    <row r="204" spans="1:5">
      <c r="A204" s="22"/>
      <c r="B204" s="15"/>
      <c r="C204" s="5" t="s">
        <v>33</v>
      </c>
      <c r="D204" s="18" t="str">
        <f>IF([1]Configuration!D77="Not Used","","Support")</f>
        <v>Support</v>
      </c>
      <c r="E204" s="5"/>
    </row>
    <row r="205" spans="1:5">
      <c r="A205" s="22"/>
      <c r="B205" s="15" t="s">
        <v>54</v>
      </c>
      <c r="C205" s="5" t="s">
        <v>44</v>
      </c>
      <c r="D205" s="18" t="str">
        <f>[1]Configuration!D81</f>
        <v>Enable</v>
      </c>
      <c r="E205" s="5" t="s">
        <v>45</v>
      </c>
    </row>
    <row r="206" spans="1:5">
      <c r="A206" s="22"/>
      <c r="B206" s="15"/>
      <c r="C206" s="5" t="s">
        <v>46</v>
      </c>
      <c r="D206" s="18" t="str">
        <f>IF([1]Configuration!D81="Not Used","",[1]Configuration!D82)</f>
        <v>Support</v>
      </c>
      <c r="E206" s="5"/>
    </row>
    <row r="207" spans="1:5">
      <c r="A207" s="22"/>
      <c r="B207" s="15"/>
      <c r="C207" s="5" t="s">
        <v>47</v>
      </c>
      <c r="D207" s="18" t="str">
        <f>IF([1]Configuration!D81="Not Used","",[1]Configuration!D83)</f>
        <v>Not Support</v>
      </c>
      <c r="E207" s="5"/>
    </row>
    <row r="208" spans="1:5">
      <c r="A208" s="22"/>
      <c r="B208" s="15"/>
      <c r="C208" s="5" t="s">
        <v>50</v>
      </c>
      <c r="D208" s="18" t="str">
        <f>IF([1]Configuration!D81="Not Used","",[1]Configuration!D84)</f>
        <v>Not Support</v>
      </c>
      <c r="E208" s="5" t="str">
        <f>IF([1]Configuration!D81="Not Used","",IF([1]Configuration!F10&lt;&gt;"",[1]Configuration!F10,""))</f>
        <v/>
      </c>
    </row>
    <row r="209" spans="1:5">
      <c r="A209" s="22"/>
      <c r="B209" s="15"/>
      <c r="C209" s="5" t="s">
        <v>51</v>
      </c>
      <c r="D209" s="18" t="str">
        <f>IF([1]Configuration!D81="Not Used","","Support")</f>
        <v>Support</v>
      </c>
      <c r="E209" s="5"/>
    </row>
    <row r="210" spans="1:5">
      <c r="A210" s="22"/>
      <c r="B210" s="15"/>
      <c r="C210" s="5" t="s">
        <v>33</v>
      </c>
      <c r="D210" s="18" t="str">
        <f>IF([1]Configuration!D81="Not Used","","Support")</f>
        <v>Support</v>
      </c>
      <c r="E210" s="5"/>
    </row>
    <row r="211" spans="1:5" ht="13.5" customHeight="1">
      <c r="A211" s="22"/>
      <c r="B211" s="23" t="s">
        <v>55</v>
      </c>
      <c r="C211" s="5" t="s">
        <v>56</v>
      </c>
      <c r="D211" s="18">
        <f>[1]Configuration!D85</f>
        <v>2</v>
      </c>
      <c r="E211" s="5"/>
    </row>
    <row r="212" spans="1:5" ht="38.25">
      <c r="A212" s="22"/>
      <c r="B212" s="24"/>
      <c r="C212" s="5" t="s">
        <v>57</v>
      </c>
      <c r="D212" s="18" t="str">
        <f>IF(D211="Not Used","",[1]Configuration!D87)</f>
        <v>On-Line&amp;Offline write back</v>
      </c>
      <c r="E212" s="25"/>
    </row>
    <row r="213" spans="1:5" ht="13.5" customHeight="1">
      <c r="A213" s="22"/>
      <c r="B213" s="24"/>
      <c r="C213" s="5" t="s">
        <v>26</v>
      </c>
      <c r="D213" s="18" t="str">
        <f>[1]Configuration!D86</f>
        <v>Linear only</v>
      </c>
      <c r="E213" s="25"/>
    </row>
    <row r="214" spans="1:5" ht="13.5" customHeight="1">
      <c r="A214" s="22"/>
      <c r="B214" s="24"/>
      <c r="C214" s="5" t="s">
        <v>58</v>
      </c>
      <c r="D214" s="18" t="str">
        <f>IF($D$211="Not Used","","Support")</f>
        <v>Support</v>
      </c>
      <c r="E214" s="25"/>
    </row>
    <row r="215" spans="1:5" ht="13.5" customHeight="1">
      <c r="A215" s="26"/>
      <c r="B215" s="27"/>
      <c r="C215" s="5" t="s">
        <v>59</v>
      </c>
      <c r="D215" s="18" t="str">
        <f>IF($D$211="Not Used","","Support")</f>
        <v>Support</v>
      </c>
      <c r="E215" s="25"/>
    </row>
    <row r="216" spans="1:5">
      <c r="A216" s="1"/>
      <c r="B216" s="1"/>
      <c r="C216" s="1"/>
      <c r="D216" s="1"/>
      <c r="E216" s="2"/>
    </row>
  </sheetData>
  <mergeCells count="31">
    <mergeCell ref="A216:B216"/>
    <mergeCell ref="C216:D216"/>
    <mergeCell ref="B168:B181"/>
    <mergeCell ref="A182:A215"/>
    <mergeCell ref="B183:B190"/>
    <mergeCell ref="B191:B198"/>
    <mergeCell ref="B199:B204"/>
    <mergeCell ref="B205:B210"/>
    <mergeCell ref="B211:B215"/>
    <mergeCell ref="B84:B97"/>
    <mergeCell ref="B98:B111"/>
    <mergeCell ref="B112:B125"/>
    <mergeCell ref="B126:B139"/>
    <mergeCell ref="B140:B153"/>
    <mergeCell ref="B154:B167"/>
    <mergeCell ref="A8:B8"/>
    <mergeCell ref="A9:B11"/>
    <mergeCell ref="A12:B12"/>
    <mergeCell ref="A13:A181"/>
    <mergeCell ref="B13:C13"/>
    <mergeCell ref="B14:B27"/>
    <mergeCell ref="B28:B41"/>
    <mergeCell ref="B42:B55"/>
    <mergeCell ref="B56:B69"/>
    <mergeCell ref="B70:B83"/>
    <mergeCell ref="A1:B1"/>
    <mergeCell ref="C1:D1"/>
    <mergeCell ref="A2:C2"/>
    <mergeCell ref="A3:B4"/>
    <mergeCell ref="A5:B5"/>
    <mergeCell ref="A6:B7"/>
  </mergeCells>
  <phoneticPr fontId="2" type="noConversion"/>
  <conditionalFormatting sqref="E25 E39 E53 E67 E81 E95 E109 E123 E137 E151 E165 E179">
    <cfRule type="cellIs" dxfId="1" priority="1" operator="equal">
      <formula>"Not Used"</formula>
    </cfRule>
  </conditionalFormatting>
  <conditionalFormatting sqref="D1:D216">
    <cfRule type="cellIs" dxfId="0" priority="1" operator="equal">
      <formula>"Not Support"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ProductFeatureList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cn9641</dc:creator>
  <cp:lastModifiedBy>cn9641</cp:lastModifiedBy>
  <dcterms:created xsi:type="dcterms:W3CDTF">2026-09-04T02:37:59Z</dcterms:created>
  <dcterms:modified xsi:type="dcterms:W3CDTF">2026-09-04T03:11:23Z</dcterms:modified>
</cp:coreProperties>
</file>